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29052026\2.4 Others\"/>
    </mc:Choice>
  </mc:AlternateContent>
  <xr:revisionPtr revIDLastSave="0" documentId="8_{D13A0597-6497-4615-90FF-404F1C1552C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eave Tracker" sheetId="8" r:id="rId1"/>
    <sheet name="Holidays" sheetId="9" r:id="rId2"/>
    <sheet name="Sheet3" sheetId="5" state="hidden" r:id="rId3"/>
  </sheets>
  <definedNames>
    <definedName name="_xlnm._FilterDatabase" localSheetId="0" hidden="1">'Leave Tracker'!$A$6:$ACH$28</definedName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I30" i="8" l="1"/>
  <c r="NH30" i="8"/>
  <c r="NG30" i="8"/>
  <c r="NF30" i="8"/>
  <c r="NE30" i="8"/>
  <c r="ND30" i="8"/>
  <c r="NC30" i="8"/>
  <c r="NB30" i="8"/>
  <c r="NA30" i="8"/>
  <c r="MZ30" i="8"/>
  <c r="MY30" i="8"/>
  <c r="MX30" i="8"/>
  <c r="MW30" i="8"/>
  <c r="MV30" i="8"/>
  <c r="MU30" i="8"/>
  <c r="MT30" i="8"/>
  <c r="MS30" i="8"/>
  <c r="MR30" i="8"/>
  <c r="MQ30" i="8"/>
  <c r="MP30" i="8"/>
  <c r="MO30" i="8"/>
  <c r="MN30" i="8"/>
  <c r="MM30" i="8"/>
  <c r="ML30" i="8"/>
  <c r="MK30" i="8"/>
  <c r="MJ30" i="8"/>
  <c r="MI30" i="8"/>
  <c r="MH30" i="8"/>
  <c r="MG30" i="8"/>
  <c r="MF30" i="8"/>
  <c r="ME30" i="8"/>
  <c r="MD30" i="8"/>
  <c r="MC30" i="8"/>
  <c r="MB30" i="8"/>
  <c r="MA30" i="8"/>
  <c r="LZ30" i="8"/>
  <c r="LY30" i="8"/>
  <c r="LX30" i="8"/>
  <c r="LW30" i="8"/>
  <c r="LV30" i="8"/>
  <c r="LU30" i="8"/>
  <c r="LT30" i="8"/>
  <c r="LS30" i="8"/>
  <c r="LR30" i="8"/>
  <c r="LQ30" i="8"/>
  <c r="LP30" i="8"/>
  <c r="LO30" i="8"/>
  <c r="LN30" i="8"/>
  <c r="LM30" i="8"/>
  <c r="LL30" i="8"/>
  <c r="LK30" i="8"/>
  <c r="LJ30" i="8"/>
  <c r="LI30" i="8"/>
  <c r="LH30" i="8"/>
  <c r="LG30" i="8"/>
  <c r="LF30" i="8"/>
  <c r="LE30" i="8"/>
  <c r="LD30" i="8"/>
  <c r="LC30" i="8"/>
  <c r="LB30" i="8"/>
  <c r="LA30" i="8"/>
  <c r="KZ30" i="8"/>
  <c r="KY30" i="8"/>
  <c r="KX30" i="8"/>
  <c r="KW30" i="8"/>
  <c r="KV30" i="8"/>
  <c r="KU30" i="8"/>
  <c r="KT30" i="8"/>
  <c r="KS30" i="8"/>
  <c r="KR30" i="8"/>
  <c r="KQ30" i="8"/>
  <c r="KP30" i="8"/>
  <c r="KO30" i="8"/>
  <c r="KN30" i="8"/>
  <c r="KM30" i="8"/>
  <c r="KL30" i="8"/>
  <c r="KK30" i="8"/>
  <c r="KJ30" i="8"/>
  <c r="KI30" i="8"/>
  <c r="KH30" i="8"/>
  <c r="KG30" i="8"/>
  <c r="KF30" i="8"/>
  <c r="KE30" i="8"/>
  <c r="KD30" i="8"/>
  <c r="KC30" i="8"/>
  <c r="KB30" i="8"/>
  <c r="KA30" i="8"/>
  <c r="JZ30" i="8"/>
  <c r="JY30" i="8"/>
  <c r="JX30" i="8"/>
  <c r="JW30" i="8"/>
  <c r="JV30" i="8"/>
  <c r="JU30" i="8"/>
  <c r="JT30" i="8"/>
  <c r="JS30" i="8"/>
  <c r="JR30" i="8"/>
  <c r="JQ30" i="8"/>
  <c r="JP30" i="8"/>
  <c r="JO30" i="8"/>
  <c r="JN30" i="8"/>
  <c r="JM30" i="8"/>
  <c r="JL30" i="8"/>
  <c r="JK30" i="8"/>
  <c r="JJ30" i="8"/>
  <c r="JI30" i="8"/>
  <c r="JH30" i="8"/>
  <c r="JG30" i="8"/>
  <c r="JF30" i="8"/>
  <c r="JE30" i="8"/>
  <c r="JD30" i="8"/>
  <c r="JC30" i="8"/>
  <c r="JB30" i="8"/>
  <c r="JA30" i="8"/>
  <c r="IZ30" i="8"/>
  <c r="IY30" i="8"/>
  <c r="IX30" i="8"/>
  <c r="IW30" i="8"/>
  <c r="IV30" i="8"/>
  <c r="IU30" i="8"/>
  <c r="IT30" i="8"/>
  <c r="IS30" i="8"/>
  <c r="IR30" i="8"/>
  <c r="IQ30" i="8"/>
  <c r="IP30" i="8"/>
  <c r="IO30" i="8"/>
  <c r="IN30" i="8"/>
  <c r="IM30" i="8"/>
  <c r="IL30" i="8"/>
  <c r="IK30" i="8"/>
  <c r="IJ30" i="8"/>
  <c r="II30" i="8"/>
  <c r="IH30" i="8"/>
  <c r="IG30" i="8"/>
  <c r="IF30" i="8"/>
  <c r="IE30" i="8"/>
  <c r="ID30" i="8"/>
  <c r="IC30" i="8"/>
  <c r="IB30" i="8"/>
  <c r="IA30" i="8"/>
  <c r="HZ30" i="8"/>
  <c r="HY30" i="8"/>
  <c r="HX30" i="8"/>
  <c r="HW30" i="8"/>
  <c r="HV30" i="8"/>
  <c r="HU30" i="8"/>
  <c r="HT30" i="8"/>
  <c r="HS30" i="8"/>
  <c r="HR30" i="8"/>
  <c r="HQ30" i="8"/>
  <c r="HP30" i="8"/>
  <c r="HO30" i="8"/>
  <c r="HN30" i="8"/>
  <c r="HM30" i="8"/>
  <c r="HL30" i="8"/>
  <c r="HK30" i="8"/>
  <c r="HJ30" i="8"/>
  <c r="HI30" i="8"/>
  <c r="HH30" i="8"/>
  <c r="HG30" i="8"/>
  <c r="HF30" i="8"/>
  <c r="HE30" i="8"/>
  <c r="HD30" i="8"/>
  <c r="HC30" i="8"/>
  <c r="HB30" i="8"/>
  <c r="HA30" i="8"/>
  <c r="GZ30" i="8"/>
  <c r="GY30" i="8"/>
  <c r="GX30" i="8"/>
  <c r="GW30" i="8"/>
  <c r="GV30" i="8"/>
  <c r="GU30" i="8"/>
  <c r="GT30" i="8"/>
  <c r="GS30" i="8"/>
  <c r="GR30" i="8"/>
  <c r="GQ30" i="8"/>
  <c r="GP30" i="8"/>
  <c r="GO30" i="8"/>
  <c r="GN30" i="8"/>
  <c r="GM30" i="8"/>
  <c r="GL30" i="8"/>
  <c r="GK30" i="8"/>
  <c r="GJ30" i="8"/>
  <c r="GI30" i="8"/>
  <c r="GH30" i="8"/>
  <c r="GG30" i="8"/>
  <c r="GF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AH30" i="8"/>
  <c r="AG30" i="8"/>
  <c r="CP30" i="8"/>
  <c r="CO30" i="8"/>
  <c r="CN30" i="8"/>
  <c r="CM30" i="8"/>
  <c r="CL30" i="8"/>
  <c r="CK30" i="8"/>
  <c r="CJ30" i="8"/>
  <c r="CI30" i="8"/>
  <c r="CH30" i="8"/>
  <c r="CG30" i="8"/>
  <c r="CF30" i="8"/>
  <c r="CE30" i="8"/>
  <c r="CD30" i="8"/>
  <c r="CC30" i="8"/>
  <c r="CB30" i="8"/>
  <c r="CA30" i="8"/>
  <c r="BZ30" i="8"/>
  <c r="BY30" i="8"/>
  <c r="BX30" i="8"/>
  <c r="BW30" i="8"/>
  <c r="BV30" i="8"/>
  <c r="BU30" i="8"/>
  <c r="BT30" i="8"/>
  <c r="BS30" i="8"/>
  <c r="BR30" i="8"/>
  <c r="BQ30" i="8"/>
  <c r="BP30" i="8"/>
  <c r="BO30" i="8"/>
  <c r="BN30" i="8"/>
  <c r="BM30" i="8"/>
  <c r="BL30" i="8"/>
  <c r="DU30" i="8"/>
  <c r="DT30" i="8"/>
  <c r="DS30" i="8"/>
  <c r="DR30" i="8"/>
  <c r="DQ30" i="8"/>
  <c r="DP30" i="8"/>
  <c r="DO30" i="8"/>
  <c r="DN30" i="8"/>
  <c r="DM30" i="8"/>
  <c r="DL30" i="8"/>
  <c r="DK30" i="8"/>
  <c r="DJ30" i="8"/>
  <c r="DI30" i="8"/>
  <c r="DH30" i="8"/>
  <c r="DG30" i="8"/>
  <c r="DF30" i="8"/>
  <c r="DE30" i="8"/>
  <c r="DD30" i="8"/>
  <c r="DC30" i="8"/>
  <c r="DB30" i="8"/>
  <c r="DA30" i="8"/>
  <c r="CZ30" i="8"/>
  <c r="CY30" i="8"/>
  <c r="CX30" i="8"/>
  <c r="CW30" i="8"/>
  <c r="CV30" i="8"/>
  <c r="CU30" i="8"/>
  <c r="CT30" i="8"/>
  <c r="CS30" i="8"/>
  <c r="CR30" i="8"/>
  <c r="CQ30" i="8"/>
  <c r="EZ30" i="8"/>
  <c r="EY30" i="8"/>
  <c r="EX30" i="8"/>
  <c r="EW30" i="8"/>
  <c r="EV30" i="8"/>
  <c r="EU30" i="8"/>
  <c r="ET30" i="8"/>
  <c r="ES30" i="8"/>
  <c r="ER30" i="8"/>
  <c r="EQ30" i="8"/>
  <c r="EP30" i="8"/>
  <c r="EO30" i="8"/>
  <c r="EN30" i="8"/>
  <c r="EM30" i="8"/>
  <c r="EL30" i="8"/>
  <c r="EK30" i="8"/>
  <c r="EJ30" i="8"/>
  <c r="EI30" i="8"/>
  <c r="EH30" i="8"/>
  <c r="EG30" i="8"/>
  <c r="EF30" i="8"/>
  <c r="EE30" i="8"/>
  <c r="ED30" i="8"/>
  <c r="EC30" i="8"/>
  <c r="EB30" i="8"/>
  <c r="EA30" i="8"/>
  <c r="DZ30" i="8"/>
  <c r="DY30" i="8"/>
  <c r="DX30" i="8"/>
  <c r="DW30" i="8"/>
  <c r="DV30" i="8"/>
  <c r="FB30" i="8"/>
  <c r="FC30" i="8"/>
  <c r="FD30" i="8"/>
  <c r="FE30" i="8"/>
  <c r="FF30" i="8"/>
  <c r="FG30" i="8"/>
  <c r="FH30" i="8"/>
  <c r="FI30" i="8"/>
  <c r="FJ30" i="8"/>
  <c r="FK30" i="8"/>
  <c r="FL30" i="8"/>
  <c r="FM30" i="8"/>
  <c r="FN30" i="8"/>
  <c r="FO30" i="8"/>
  <c r="FP30" i="8"/>
  <c r="FQ30" i="8"/>
  <c r="FR30" i="8"/>
  <c r="FS30" i="8"/>
  <c r="FT30" i="8"/>
  <c r="FU30" i="8"/>
  <c r="FV30" i="8"/>
  <c r="FW30" i="8"/>
  <c r="FX30" i="8"/>
  <c r="FY30" i="8"/>
  <c r="FZ30" i="8"/>
  <c r="GA30" i="8"/>
  <c r="GB30" i="8"/>
  <c r="GC30" i="8"/>
  <c r="GD30" i="8"/>
  <c r="GE30" i="8"/>
  <c r="FA30" i="8"/>
  <c r="AB3" i="8" l="1"/>
  <c r="NI5" i="8" l="1"/>
  <c r="NH5" i="8"/>
  <c r="NG5" i="8"/>
  <c r="NF5" i="8"/>
  <c r="NE5" i="8"/>
  <c r="ND5" i="8"/>
  <c r="NC5" i="8"/>
  <c r="NB5" i="8"/>
  <c r="NA5" i="8"/>
  <c r="MZ5" i="8"/>
  <c r="MY5" i="8"/>
  <c r="MX5" i="8"/>
  <c r="MW5" i="8"/>
  <c r="MV5" i="8"/>
  <c r="MU5" i="8"/>
  <c r="MT5" i="8"/>
  <c r="MS5" i="8"/>
  <c r="MR5" i="8"/>
  <c r="MQ5" i="8"/>
  <c r="MP5" i="8"/>
  <c r="MO5" i="8"/>
  <c r="MN5" i="8"/>
  <c r="MM5" i="8"/>
  <c r="ML5" i="8"/>
  <c r="MK5" i="8"/>
  <c r="MJ5" i="8"/>
  <c r="MI5" i="8"/>
  <c r="MH5" i="8"/>
  <c r="MG5" i="8"/>
  <c r="MF5" i="8"/>
  <c r="ME5" i="8"/>
  <c r="MD5" i="8"/>
  <c r="MC5" i="8"/>
  <c r="MB5" i="8"/>
  <c r="MA5" i="8"/>
  <c r="LZ5" i="8"/>
  <c r="LY5" i="8"/>
  <c r="LX5" i="8"/>
  <c r="LW5" i="8"/>
  <c r="LV5" i="8"/>
  <c r="LU5" i="8"/>
  <c r="LT5" i="8"/>
  <c r="LS5" i="8"/>
  <c r="LR5" i="8"/>
  <c r="LQ5" i="8"/>
  <c r="LP5" i="8"/>
  <c r="LO5" i="8"/>
  <c r="LN5" i="8"/>
  <c r="LM5" i="8"/>
  <c r="LL5" i="8"/>
  <c r="LK5" i="8"/>
  <c r="LJ5" i="8"/>
  <c r="LI5" i="8"/>
  <c r="LH5" i="8"/>
  <c r="LG5" i="8"/>
  <c r="LF5" i="8"/>
  <c r="LE5" i="8"/>
  <c r="LD5" i="8"/>
  <c r="LC5" i="8"/>
  <c r="LB5" i="8"/>
  <c r="LA5" i="8"/>
  <c r="KZ5" i="8"/>
  <c r="KY5" i="8"/>
  <c r="KX5" i="8"/>
  <c r="KW5" i="8"/>
  <c r="KV5" i="8"/>
  <c r="KU5" i="8"/>
  <c r="KT5" i="8"/>
  <c r="KS5" i="8"/>
  <c r="KR5" i="8"/>
  <c r="KQ5" i="8"/>
  <c r="KP5" i="8"/>
  <c r="KO5" i="8"/>
  <c r="KN5" i="8"/>
  <c r="KM5" i="8"/>
  <c r="KL5" i="8"/>
  <c r="KK5" i="8"/>
  <c r="KJ5" i="8"/>
  <c r="KI5" i="8"/>
  <c r="KH5" i="8"/>
  <c r="KG5" i="8"/>
  <c r="KF5" i="8"/>
  <c r="KE5" i="8"/>
  <c r="KD5" i="8"/>
  <c r="KC5" i="8"/>
  <c r="KB5" i="8"/>
  <c r="KA5" i="8"/>
  <c r="JZ5" i="8"/>
  <c r="JY5" i="8"/>
  <c r="JX5" i="8"/>
  <c r="JW5" i="8"/>
  <c r="JV5" i="8"/>
  <c r="JU5" i="8"/>
  <c r="JT5" i="8"/>
  <c r="JS5" i="8"/>
  <c r="JR5" i="8"/>
  <c r="JQ5" i="8"/>
  <c r="JP5" i="8"/>
  <c r="JO5" i="8"/>
  <c r="JN5" i="8"/>
  <c r="JM5" i="8"/>
  <c r="JL5" i="8"/>
  <c r="JK5" i="8"/>
  <c r="JJ5" i="8"/>
  <c r="JI5" i="8"/>
  <c r="JH5" i="8"/>
  <c r="JG5" i="8"/>
  <c r="JF5" i="8"/>
  <c r="JE5" i="8"/>
  <c r="JD5" i="8"/>
  <c r="JC5" i="8"/>
  <c r="JB5" i="8"/>
  <c r="JA5" i="8"/>
  <c r="IZ5" i="8"/>
  <c r="IY5" i="8"/>
  <c r="IX5" i="8"/>
  <c r="IW5" i="8"/>
  <c r="IV5" i="8"/>
  <c r="IU5" i="8"/>
  <c r="IT5" i="8"/>
  <c r="IS5" i="8"/>
  <c r="IR5" i="8"/>
  <c r="IQ5" i="8"/>
  <c r="IP5" i="8"/>
  <c r="IO5" i="8"/>
  <c r="IN5" i="8"/>
  <c r="IM5" i="8"/>
  <c r="IL5" i="8"/>
  <c r="IK5" i="8"/>
  <c r="IJ5" i="8"/>
  <c r="II5" i="8"/>
  <c r="IH5" i="8"/>
  <c r="IG5" i="8"/>
  <c r="IF5" i="8"/>
  <c r="IE5" i="8"/>
  <c r="ID5" i="8"/>
  <c r="IC5" i="8"/>
  <c r="IB5" i="8"/>
  <c r="IA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NI3" i="8" l="1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AG6" i="8"/>
  <c r="AG4" i="8" s="1"/>
  <c r="NU8" i="8" l="1"/>
  <c r="NQ8" i="8"/>
  <c r="NM8" i="8"/>
  <c r="NT8" i="8"/>
  <c r="NP8" i="8"/>
  <c r="NL8" i="8"/>
  <c r="NS8" i="8"/>
  <c r="NO8" i="8"/>
  <c r="NR8" i="8"/>
  <c r="NN8" i="8"/>
  <c r="NK8" i="8" a="1"/>
  <c r="NK8" i="8" s="1"/>
  <c r="NO9" i="8"/>
  <c r="NN10" i="8"/>
  <c r="NO11" i="8"/>
  <c r="NN12" i="8"/>
  <c r="NM13" i="8"/>
  <c r="NL14" i="8"/>
  <c r="NP14" i="8"/>
  <c r="NO15" i="8"/>
  <c r="NN16" i="8"/>
  <c r="NO17" i="8"/>
  <c r="NN18" i="8"/>
  <c r="NM19" i="8"/>
  <c r="NL20" i="8"/>
  <c r="NP20" i="8"/>
  <c r="NO21" i="8"/>
  <c r="NN22" i="8"/>
  <c r="NM23" i="8"/>
  <c r="NL24" i="8"/>
  <c r="NK16" i="8" a="1"/>
  <c r="NK16" i="8" s="1"/>
  <c r="NL9" i="8"/>
  <c r="NP9" i="8"/>
  <c r="NO10" i="8"/>
  <c r="NL11" i="8"/>
  <c r="NP11" i="8"/>
  <c r="NO12" i="8"/>
  <c r="NN13" i="8"/>
  <c r="NM14" i="8"/>
  <c r="NL15" i="8"/>
  <c r="NP15" i="8"/>
  <c r="NO16" i="8"/>
  <c r="NP17" i="8"/>
  <c r="NO18" i="8"/>
  <c r="NN19" i="8"/>
  <c r="NM20" i="8"/>
  <c r="NL21" i="8"/>
  <c r="NP21" i="8"/>
  <c r="NO22" i="8"/>
  <c r="NN23" i="8"/>
  <c r="NM24" i="8"/>
  <c r="NK13" i="8" a="1"/>
  <c r="NK13" i="8" s="1"/>
  <c r="NK17" i="8" a="1"/>
  <c r="NK17" i="8" s="1"/>
  <c r="NK21" i="8" a="1"/>
  <c r="NK21" i="8" s="1"/>
  <c r="NK25" i="8" a="1"/>
  <c r="NK25" i="8" s="1"/>
  <c r="NR12" i="8"/>
  <c r="NK9" i="8" a="1"/>
  <c r="NK9" i="8" s="1"/>
  <c r="NN11" i="8"/>
  <c r="NP13" i="8"/>
  <c r="NO14" i="8"/>
  <c r="NN17" i="8"/>
  <c r="NL19" i="8"/>
  <c r="NO20" i="8"/>
  <c r="NM22" i="8"/>
  <c r="NO24" i="8"/>
  <c r="NK11" i="8" a="1"/>
  <c r="NK11" i="8" s="1"/>
  <c r="NK23" i="8" a="1"/>
  <c r="NK23" i="8" s="1"/>
  <c r="NT12" i="8"/>
  <c r="NP24" i="8"/>
  <c r="NK12" i="8" a="1"/>
  <c r="NK12" i="8" s="1"/>
  <c r="NK24" i="8" a="1"/>
  <c r="NK24" i="8" s="1"/>
  <c r="NM9" i="8"/>
  <c r="NL10" i="8"/>
  <c r="NP10" i="8"/>
  <c r="NM11" i="8"/>
  <c r="NL12" i="8"/>
  <c r="NP12" i="8"/>
  <c r="NO13" i="8"/>
  <c r="NN14" i="8"/>
  <c r="NM15" i="8"/>
  <c r="NL16" i="8"/>
  <c r="NP16" i="8"/>
  <c r="NL18" i="8"/>
  <c r="NP18" i="8"/>
  <c r="NO19" i="8"/>
  <c r="NN20" i="8"/>
  <c r="NM21" i="8"/>
  <c r="NL22" i="8"/>
  <c r="NP22" i="8"/>
  <c r="NO23" i="8"/>
  <c r="NN24" i="8"/>
  <c r="NK14" i="8" a="1"/>
  <c r="NK14" i="8" s="1"/>
  <c r="NK18" i="8" a="1"/>
  <c r="NK18" i="8" s="1"/>
  <c r="NK22" i="8" a="1"/>
  <c r="NK22" i="8" s="1"/>
  <c r="NK26" i="8" a="1"/>
  <c r="NK26" i="8" s="1"/>
  <c r="NS12" i="8"/>
  <c r="NN9" i="8"/>
  <c r="NM10" i="8"/>
  <c r="NL13" i="8"/>
  <c r="NN15" i="8"/>
  <c r="NM18" i="8"/>
  <c r="NN21" i="8"/>
  <c r="NP23" i="8"/>
  <c r="NK19" i="8" a="1"/>
  <c r="NK19" i="8" s="1"/>
  <c r="NK27" i="8" a="1"/>
  <c r="NK27" i="8" s="1"/>
  <c r="NK20" i="8" a="1"/>
  <c r="NK20" i="8" s="1"/>
  <c r="NQ12" i="8"/>
  <c r="NU12" i="8"/>
  <c r="NM12" i="8"/>
  <c r="NM16" i="8"/>
  <c r="NP19" i="8"/>
  <c r="NL23" i="8"/>
  <c r="NK15" i="8" a="1"/>
  <c r="NK15" i="8" s="1"/>
  <c r="NK10" i="8" a="1"/>
  <c r="NK10" i="8" s="1"/>
  <c r="NK28" i="8" a="1"/>
  <c r="NK28" i="8" s="1"/>
  <c r="NS11" i="8"/>
  <c r="NQ11" i="8"/>
  <c r="NR11" i="8"/>
  <c r="NT11" i="8"/>
  <c r="NU11" i="8"/>
  <c r="NT22" i="8"/>
  <c r="NR23" i="8"/>
  <c r="NT24" i="8"/>
  <c r="NQ22" i="8"/>
  <c r="NU22" i="8"/>
  <c r="NS23" i="8"/>
  <c r="NQ24" i="8"/>
  <c r="NU24" i="8"/>
  <c r="NS22" i="8"/>
  <c r="NU23" i="8"/>
  <c r="NS24" i="8"/>
  <c r="NR22" i="8"/>
  <c r="NT23" i="8"/>
  <c r="NR24" i="8"/>
  <c r="NQ23" i="8"/>
  <c r="NT17" i="8"/>
  <c r="NR18" i="8"/>
  <c r="NT19" i="8"/>
  <c r="NS20" i="8"/>
  <c r="NR21" i="8"/>
  <c r="NM25" i="8"/>
  <c r="NQ25" i="8"/>
  <c r="NU17" i="8"/>
  <c r="NU19" i="8"/>
  <c r="NN25" i="8"/>
  <c r="NS25" i="8"/>
  <c r="NR17" i="8"/>
  <c r="NT18" i="8"/>
  <c r="NR19" i="8"/>
  <c r="NQ20" i="8"/>
  <c r="NU20" i="8"/>
  <c r="NT21" i="8"/>
  <c r="NS17" i="8"/>
  <c r="NQ18" i="8"/>
  <c r="NU18" i="8"/>
  <c r="NS19" i="8"/>
  <c r="NR20" i="8"/>
  <c r="NQ21" i="8"/>
  <c r="NU21" i="8"/>
  <c r="NL25" i="8"/>
  <c r="NP25" i="8"/>
  <c r="NT25" i="8"/>
  <c r="NU25" i="8"/>
  <c r="NQ17" i="8"/>
  <c r="NS18" i="8"/>
  <c r="NQ19" i="8"/>
  <c r="NT20" i="8"/>
  <c r="NS21" i="8"/>
  <c r="NR25" i="8"/>
  <c r="NO25" i="8"/>
  <c r="NU16" i="8"/>
  <c r="NQ16" i="8"/>
  <c r="NT16" i="8"/>
  <c r="NS16" i="8"/>
  <c r="NR16" i="8"/>
  <c r="NU15" i="8"/>
  <c r="NQ15" i="8"/>
  <c r="NR15" i="8"/>
  <c r="NT15" i="8"/>
  <c r="NS15" i="8"/>
  <c r="NU13" i="8"/>
  <c r="NQ13" i="8"/>
  <c r="NT13" i="8"/>
  <c r="NS13" i="8"/>
  <c r="NR13" i="8"/>
  <c r="NU14" i="8"/>
  <c r="NQ14" i="8"/>
  <c r="NT14" i="8"/>
  <c r="NS14" i="8"/>
  <c r="NR14" i="8"/>
  <c r="NU28" i="8"/>
  <c r="NQ28" i="8"/>
  <c r="NM28" i="8"/>
  <c r="NS26" i="8"/>
  <c r="NO26" i="8"/>
  <c r="NT28" i="8"/>
  <c r="NP28" i="8"/>
  <c r="NL28" i="8"/>
  <c r="NR26" i="8"/>
  <c r="NN26" i="8"/>
  <c r="NS28" i="8"/>
  <c r="NO28" i="8"/>
  <c r="NU26" i="8"/>
  <c r="NQ26" i="8"/>
  <c r="NM26" i="8"/>
  <c r="NR28" i="8"/>
  <c r="NN28" i="8"/>
  <c r="NT26" i="8"/>
  <c r="NP26" i="8"/>
  <c r="NL26" i="8"/>
  <c r="NU27" i="8"/>
  <c r="NQ27" i="8"/>
  <c r="NM27" i="8"/>
  <c r="NT27" i="8"/>
  <c r="NP27" i="8"/>
  <c r="NS27" i="8"/>
  <c r="NO27" i="8"/>
  <c r="NR27" i="8"/>
  <c r="NN27" i="8"/>
  <c r="NL27" i="8"/>
  <c r="NR9" i="8"/>
  <c r="NT10" i="8"/>
  <c r="NS9" i="8"/>
  <c r="NQ10" i="8"/>
  <c r="NU10" i="8"/>
  <c r="NT9" i="8"/>
  <c r="NR10" i="8"/>
  <c r="NQ9" i="8"/>
  <c r="NU9" i="8"/>
  <c r="NS10" i="8"/>
  <c r="NK30" i="8" l="1"/>
  <c r="ME6" i="8"/>
  <c r="ME4" i="8" s="1"/>
  <c r="JU6" i="8"/>
  <c r="JU4" i="8" s="1"/>
  <c r="CQ6" i="8"/>
  <c r="CQ4" i="8" s="1"/>
  <c r="T6" i="8"/>
  <c r="T4" i="8" s="1"/>
  <c r="S6" i="8"/>
  <c r="S4" i="8" s="1"/>
  <c r="R6" i="8"/>
  <c r="R4" i="8" s="1"/>
  <c r="Q6" i="8"/>
  <c r="Q4" i="8" s="1"/>
  <c r="P6" i="8"/>
  <c r="P4" i="8" s="1"/>
  <c r="O6" i="8"/>
  <c r="O4" i="8" s="1"/>
  <c r="N6" i="8"/>
  <c r="N4" i="8" s="1"/>
  <c r="M6" i="8"/>
  <c r="M4" i="8" s="1"/>
  <c r="L6" i="8"/>
  <c r="L4" i="8" s="1"/>
  <c r="K6" i="8"/>
  <c r="K4" i="8" s="1"/>
  <c r="J6" i="8"/>
  <c r="J4" i="8" s="1"/>
  <c r="I6" i="8"/>
  <c r="I4" i="8" s="1"/>
  <c r="H6" i="8"/>
  <c r="H4" i="8" s="1"/>
  <c r="G6" i="8"/>
  <c r="G4" i="8" s="1"/>
  <c r="F6" i="8"/>
  <c r="F4" i="8" s="1"/>
  <c r="E6" i="8"/>
  <c r="E4" i="8" s="1"/>
  <c r="D6" i="8"/>
  <c r="D4" i="8" s="1"/>
  <c r="C6" i="8"/>
  <c r="C4" i="8" s="1"/>
  <c r="B6" i="8"/>
  <c r="B4" i="8" s="1"/>
  <c r="Z6" i="8" l="1"/>
  <c r="Z4" i="8" s="1"/>
  <c r="AD6" i="8"/>
  <c r="AD4" i="8" s="1"/>
  <c r="AP6" i="8"/>
  <c r="AP4" i="8" s="1"/>
  <c r="BB6" i="8"/>
  <c r="BB4" i="8" s="1"/>
  <c r="BR6" i="8"/>
  <c r="BR4" i="8" s="1"/>
  <c r="CD6" i="8"/>
  <c r="CD4" i="8" s="1"/>
  <c r="CP6" i="8"/>
  <c r="CP4" i="8" s="1"/>
  <c r="CX6" i="8"/>
  <c r="CX4" i="8" s="1"/>
  <c r="DN6" i="8"/>
  <c r="DN4" i="8" s="1"/>
  <c r="DV6" i="8"/>
  <c r="DV4" i="8" s="1"/>
  <c r="EH6" i="8"/>
  <c r="EH4" i="8" s="1"/>
  <c r="ET6" i="8"/>
  <c r="ET4" i="8" s="1"/>
  <c r="FF6" i="8"/>
  <c r="FF4" i="8" s="1"/>
  <c r="FR6" i="8"/>
  <c r="FR4" i="8" s="1"/>
  <c r="GD6" i="8"/>
  <c r="GD4" i="8" s="1"/>
  <c r="GP6" i="8"/>
  <c r="GP4" i="8" s="1"/>
  <c r="GX6" i="8"/>
  <c r="GX4" i="8" s="1"/>
  <c r="HN6" i="8"/>
  <c r="HN4" i="8" s="1"/>
  <c r="HZ6" i="8"/>
  <c r="HZ4" i="8" s="1"/>
  <c r="IH6" i="8"/>
  <c r="IH4" i="8" s="1"/>
  <c r="IX6" i="8"/>
  <c r="IX4" i="8" s="1"/>
  <c r="JJ6" i="8"/>
  <c r="JJ4" i="8" s="1"/>
  <c r="JV6" i="8"/>
  <c r="JV4" i="8" s="1"/>
  <c r="KH6" i="8"/>
  <c r="KH4" i="8" s="1"/>
  <c r="KT6" i="8"/>
  <c r="KT4" i="8" s="1"/>
  <c r="LF6" i="8"/>
  <c r="LF4" i="8" s="1"/>
  <c r="LR6" i="8"/>
  <c r="LR4" i="8" s="1"/>
  <c r="MD6" i="8"/>
  <c r="MD4" i="8" s="1"/>
  <c r="MH6" i="8"/>
  <c r="MH4" i="8" s="1"/>
  <c r="MT6" i="8"/>
  <c r="MT4" i="8" s="1"/>
  <c r="MX6" i="8"/>
  <c r="MX4" i="8" s="1"/>
  <c r="NB6" i="8"/>
  <c r="NB4" i="8" s="1"/>
  <c r="NF6" i="8"/>
  <c r="NF4" i="8" s="1"/>
  <c r="W6" i="8"/>
  <c r="W4" i="8" s="1"/>
  <c r="AA6" i="8"/>
  <c r="AA4" i="8" s="1"/>
  <c r="AE6" i="8"/>
  <c r="AE4" i="8" s="1"/>
  <c r="AI6" i="8"/>
  <c r="AI4" i="8" s="1"/>
  <c r="AM6" i="8"/>
  <c r="AM4" i="8" s="1"/>
  <c r="AQ6" i="8"/>
  <c r="AQ4" i="8" s="1"/>
  <c r="AU6" i="8"/>
  <c r="AU4" i="8" s="1"/>
  <c r="AY6" i="8"/>
  <c r="AY4" i="8" s="1"/>
  <c r="BC6" i="8"/>
  <c r="BC4" i="8" s="1"/>
  <c r="BG6" i="8"/>
  <c r="BG4" i="8" s="1"/>
  <c r="BK6" i="8"/>
  <c r="BK4" i="8" s="1"/>
  <c r="BO6" i="8"/>
  <c r="BO4" i="8" s="1"/>
  <c r="BS6" i="8"/>
  <c r="BS4" i="8" s="1"/>
  <c r="BW6" i="8"/>
  <c r="BW4" i="8" s="1"/>
  <c r="CA6" i="8"/>
  <c r="CA4" i="8" s="1"/>
  <c r="CE6" i="8"/>
  <c r="CE4" i="8" s="1"/>
  <c r="CI6" i="8"/>
  <c r="CI4" i="8" s="1"/>
  <c r="CM6" i="8"/>
  <c r="CM4" i="8" s="1"/>
  <c r="CU6" i="8"/>
  <c r="CU4" i="8" s="1"/>
  <c r="CY6" i="8"/>
  <c r="CY4" i="8" s="1"/>
  <c r="DC6" i="8"/>
  <c r="DC4" i="8" s="1"/>
  <c r="DG6" i="8"/>
  <c r="DG4" i="8" s="1"/>
  <c r="DK6" i="8"/>
  <c r="DK4" i="8" s="1"/>
  <c r="DO6" i="8"/>
  <c r="DO4" i="8" s="1"/>
  <c r="DS6" i="8"/>
  <c r="DS4" i="8" s="1"/>
  <c r="DW6" i="8"/>
  <c r="DW4" i="8" s="1"/>
  <c r="EA6" i="8"/>
  <c r="EA4" i="8" s="1"/>
  <c r="EE6" i="8"/>
  <c r="EE4" i="8" s="1"/>
  <c r="EI6" i="8"/>
  <c r="EI4" i="8" s="1"/>
  <c r="EM6" i="8"/>
  <c r="EM4" i="8" s="1"/>
  <c r="EQ6" i="8"/>
  <c r="EQ4" i="8" s="1"/>
  <c r="EU6" i="8"/>
  <c r="EU4" i="8" s="1"/>
  <c r="EY6" i="8"/>
  <c r="EY4" i="8" s="1"/>
  <c r="FC6" i="8"/>
  <c r="FC4" i="8" s="1"/>
  <c r="FG6" i="8"/>
  <c r="FG4" i="8" s="1"/>
  <c r="FK6" i="8"/>
  <c r="FK4" i="8" s="1"/>
  <c r="FO6" i="8"/>
  <c r="FO4" i="8" s="1"/>
  <c r="FS6" i="8"/>
  <c r="FS4" i="8" s="1"/>
  <c r="FW6" i="8"/>
  <c r="FW4" i="8" s="1"/>
  <c r="GA6" i="8"/>
  <c r="GA4" i="8" s="1"/>
  <c r="GE6" i="8"/>
  <c r="GE4" i="8" s="1"/>
  <c r="GI6" i="8"/>
  <c r="GI4" i="8" s="1"/>
  <c r="GM6" i="8"/>
  <c r="GM4" i="8" s="1"/>
  <c r="GQ6" i="8"/>
  <c r="GQ4" i="8" s="1"/>
  <c r="GU6" i="8"/>
  <c r="GU4" i="8" s="1"/>
  <c r="GY6" i="8"/>
  <c r="GY4" i="8" s="1"/>
  <c r="HC6" i="8"/>
  <c r="HC4" i="8" s="1"/>
  <c r="HG6" i="8"/>
  <c r="HG4" i="8" s="1"/>
  <c r="HK6" i="8"/>
  <c r="HK4" i="8" s="1"/>
  <c r="HO6" i="8"/>
  <c r="HO4" i="8" s="1"/>
  <c r="HS6" i="8"/>
  <c r="HS4" i="8" s="1"/>
  <c r="HW6" i="8"/>
  <c r="HW4" i="8" s="1"/>
  <c r="IA6" i="8"/>
  <c r="IA4" i="8" s="1"/>
  <c r="IE6" i="8"/>
  <c r="IE4" i="8" s="1"/>
  <c r="II6" i="8"/>
  <c r="II4" i="8" s="1"/>
  <c r="IM6" i="8"/>
  <c r="IM4" i="8" s="1"/>
  <c r="IQ6" i="8"/>
  <c r="IQ4" i="8" s="1"/>
  <c r="IU6" i="8"/>
  <c r="IU4" i="8" s="1"/>
  <c r="IY6" i="8"/>
  <c r="IY4" i="8" s="1"/>
  <c r="JC6" i="8"/>
  <c r="JC4" i="8" s="1"/>
  <c r="JG6" i="8"/>
  <c r="JG4" i="8" s="1"/>
  <c r="JK6" i="8"/>
  <c r="JK4" i="8" s="1"/>
  <c r="JO6" i="8"/>
  <c r="JO4" i="8" s="1"/>
  <c r="JS6" i="8"/>
  <c r="JS4" i="8" s="1"/>
  <c r="JW6" i="8"/>
  <c r="JW4" i="8" s="1"/>
  <c r="KA6" i="8"/>
  <c r="KA4" i="8" s="1"/>
  <c r="KE6" i="8"/>
  <c r="KE4" i="8" s="1"/>
  <c r="KI6" i="8"/>
  <c r="KI4" i="8" s="1"/>
  <c r="KM6" i="8"/>
  <c r="KM4" i="8" s="1"/>
  <c r="KQ6" i="8"/>
  <c r="KQ4" i="8" s="1"/>
  <c r="KU6" i="8"/>
  <c r="KU4" i="8" s="1"/>
  <c r="KY6" i="8"/>
  <c r="KY4" i="8" s="1"/>
  <c r="LC6" i="8"/>
  <c r="LC4" i="8" s="1"/>
  <c r="LG6" i="8"/>
  <c r="LG4" i="8" s="1"/>
  <c r="LK6" i="8"/>
  <c r="LK4" i="8" s="1"/>
  <c r="LO6" i="8"/>
  <c r="LO4" i="8" s="1"/>
  <c r="LS6" i="8"/>
  <c r="LS4" i="8" s="1"/>
  <c r="LW6" i="8"/>
  <c r="LW4" i="8" s="1"/>
  <c r="MA6" i="8"/>
  <c r="MA4" i="8" s="1"/>
  <c r="MI6" i="8"/>
  <c r="MI4" i="8" s="1"/>
  <c r="MM6" i="8"/>
  <c r="MM4" i="8" s="1"/>
  <c r="MQ6" i="8"/>
  <c r="MQ4" i="8" s="1"/>
  <c r="MU6" i="8"/>
  <c r="MU4" i="8" s="1"/>
  <c r="MY6" i="8"/>
  <c r="MY4" i="8" s="1"/>
  <c r="NC6" i="8"/>
  <c r="NC4" i="8" s="1"/>
  <c r="NG6" i="8"/>
  <c r="NG4" i="8" s="1"/>
  <c r="AH6" i="8"/>
  <c r="AH4" i="8" s="1"/>
  <c r="AX6" i="8"/>
  <c r="AX4" i="8" s="1"/>
  <c r="BJ6" i="8"/>
  <c r="BJ4" i="8" s="1"/>
  <c r="BV6" i="8"/>
  <c r="BV4" i="8" s="1"/>
  <c r="CH6" i="8"/>
  <c r="CH4" i="8" s="1"/>
  <c r="CT6" i="8"/>
  <c r="CT4" i="8" s="1"/>
  <c r="DF6" i="8"/>
  <c r="DF4" i="8" s="1"/>
  <c r="DR6" i="8"/>
  <c r="DR4" i="8" s="1"/>
  <c r="ED6" i="8"/>
  <c r="ED4" i="8" s="1"/>
  <c r="EP6" i="8"/>
  <c r="EP4" i="8" s="1"/>
  <c r="FB6" i="8"/>
  <c r="FB4" i="8" s="1"/>
  <c r="FN6" i="8"/>
  <c r="FN4" i="8" s="1"/>
  <c r="FZ6" i="8"/>
  <c r="FZ4" i="8" s="1"/>
  <c r="GL6" i="8"/>
  <c r="GL4" i="8" s="1"/>
  <c r="HB6" i="8"/>
  <c r="HB4" i="8" s="1"/>
  <c r="HJ6" i="8"/>
  <c r="HJ4" i="8" s="1"/>
  <c r="ID6" i="8"/>
  <c r="ID4" i="8" s="1"/>
  <c r="IP6" i="8"/>
  <c r="IP4" i="8" s="1"/>
  <c r="JB6" i="8"/>
  <c r="JB4" i="8" s="1"/>
  <c r="JN6" i="8"/>
  <c r="JN4" i="8" s="1"/>
  <c r="JZ6" i="8"/>
  <c r="JZ4" i="8" s="1"/>
  <c r="KL6" i="8"/>
  <c r="KL4" i="8" s="1"/>
  <c r="KX6" i="8"/>
  <c r="KX4" i="8" s="1"/>
  <c r="LJ6" i="8"/>
  <c r="LJ4" i="8" s="1"/>
  <c r="LZ6" i="8"/>
  <c r="LZ4" i="8" s="1"/>
  <c r="MP6" i="8"/>
  <c r="MP4" i="8" s="1"/>
  <c r="AB6" i="8"/>
  <c r="AB4" i="8" s="1"/>
  <c r="AJ6" i="8"/>
  <c r="AJ4" i="8" s="1"/>
  <c r="AN6" i="8"/>
  <c r="AN4" i="8" s="1"/>
  <c r="AR6" i="8"/>
  <c r="AR4" i="8" s="1"/>
  <c r="AV6" i="8"/>
  <c r="AV4" i="8" s="1"/>
  <c r="AZ6" i="8"/>
  <c r="AZ4" i="8" s="1"/>
  <c r="BD6" i="8"/>
  <c r="BD4" i="8" s="1"/>
  <c r="BH6" i="8"/>
  <c r="BH4" i="8" s="1"/>
  <c r="BL6" i="8"/>
  <c r="BL4" i="8" s="1"/>
  <c r="BP6" i="8"/>
  <c r="BP4" i="8" s="1"/>
  <c r="BT6" i="8"/>
  <c r="BT4" i="8" s="1"/>
  <c r="BX6" i="8"/>
  <c r="BX4" i="8" s="1"/>
  <c r="CB6" i="8"/>
  <c r="CB4" i="8" s="1"/>
  <c r="CF6" i="8"/>
  <c r="CF4" i="8" s="1"/>
  <c r="CJ6" i="8"/>
  <c r="CJ4" i="8" s="1"/>
  <c r="CN6" i="8"/>
  <c r="CN4" i="8" s="1"/>
  <c r="CR6" i="8"/>
  <c r="CR4" i="8" s="1"/>
  <c r="CV6" i="8"/>
  <c r="CV4" i="8" s="1"/>
  <c r="CZ6" i="8"/>
  <c r="CZ4" i="8" s="1"/>
  <c r="DD6" i="8"/>
  <c r="DD4" i="8" s="1"/>
  <c r="DH6" i="8"/>
  <c r="DH4" i="8" s="1"/>
  <c r="DL6" i="8"/>
  <c r="DL4" i="8" s="1"/>
  <c r="DP6" i="8"/>
  <c r="DP4" i="8" s="1"/>
  <c r="DT6" i="8"/>
  <c r="DT4" i="8" s="1"/>
  <c r="DX6" i="8"/>
  <c r="DX4" i="8" s="1"/>
  <c r="EB6" i="8"/>
  <c r="EB4" i="8" s="1"/>
  <c r="EF6" i="8"/>
  <c r="EF4" i="8" s="1"/>
  <c r="EJ6" i="8"/>
  <c r="EJ4" i="8" s="1"/>
  <c r="EN6" i="8"/>
  <c r="EN4" i="8" s="1"/>
  <c r="ER6" i="8"/>
  <c r="ER4" i="8" s="1"/>
  <c r="EV6" i="8"/>
  <c r="EV4" i="8" s="1"/>
  <c r="EZ6" i="8"/>
  <c r="EZ4" i="8" s="1"/>
  <c r="FD6" i="8"/>
  <c r="FD4" i="8" s="1"/>
  <c r="FH6" i="8"/>
  <c r="FH4" i="8" s="1"/>
  <c r="FL6" i="8"/>
  <c r="FL4" i="8" s="1"/>
  <c r="FP6" i="8"/>
  <c r="FP4" i="8" s="1"/>
  <c r="FT6" i="8"/>
  <c r="FT4" i="8" s="1"/>
  <c r="FX6" i="8"/>
  <c r="FX4" i="8" s="1"/>
  <c r="GB6" i="8"/>
  <c r="GB4" i="8" s="1"/>
  <c r="GF6" i="8"/>
  <c r="GF4" i="8" s="1"/>
  <c r="GJ6" i="8"/>
  <c r="GJ4" i="8" s="1"/>
  <c r="GN6" i="8"/>
  <c r="GN4" i="8" s="1"/>
  <c r="GR6" i="8"/>
  <c r="GR4" i="8" s="1"/>
  <c r="GV6" i="8"/>
  <c r="GV4" i="8" s="1"/>
  <c r="GZ6" i="8"/>
  <c r="GZ4" i="8" s="1"/>
  <c r="HD6" i="8"/>
  <c r="HD4" i="8" s="1"/>
  <c r="HH6" i="8"/>
  <c r="HH4" i="8" s="1"/>
  <c r="HL6" i="8"/>
  <c r="HL4" i="8" s="1"/>
  <c r="HP6" i="8"/>
  <c r="HP4" i="8" s="1"/>
  <c r="HT6" i="8"/>
  <c r="HT4" i="8" s="1"/>
  <c r="HX6" i="8"/>
  <c r="HX4" i="8" s="1"/>
  <c r="IB6" i="8"/>
  <c r="IB4" i="8" s="1"/>
  <c r="IF6" i="8"/>
  <c r="IF4" i="8" s="1"/>
  <c r="IJ6" i="8"/>
  <c r="IJ4" i="8" s="1"/>
  <c r="IN6" i="8"/>
  <c r="IN4" i="8" s="1"/>
  <c r="IR6" i="8"/>
  <c r="IR4" i="8" s="1"/>
  <c r="IV6" i="8"/>
  <c r="IV4" i="8" s="1"/>
  <c r="IZ6" i="8"/>
  <c r="IZ4" i="8" s="1"/>
  <c r="JD6" i="8"/>
  <c r="JD4" i="8" s="1"/>
  <c r="JH6" i="8"/>
  <c r="JH4" i="8" s="1"/>
  <c r="JL6" i="8"/>
  <c r="JL4" i="8" s="1"/>
  <c r="JP6" i="8"/>
  <c r="JP4" i="8" s="1"/>
  <c r="JT6" i="8"/>
  <c r="JT4" i="8" s="1"/>
  <c r="JX6" i="8"/>
  <c r="JX4" i="8" s="1"/>
  <c r="KB6" i="8"/>
  <c r="KB4" i="8" s="1"/>
  <c r="KF6" i="8"/>
  <c r="KF4" i="8" s="1"/>
  <c r="KJ6" i="8"/>
  <c r="KJ4" i="8" s="1"/>
  <c r="KN6" i="8"/>
  <c r="KN4" i="8" s="1"/>
  <c r="KR6" i="8"/>
  <c r="KR4" i="8" s="1"/>
  <c r="KV6" i="8"/>
  <c r="KV4" i="8" s="1"/>
  <c r="KZ6" i="8"/>
  <c r="KZ4" i="8" s="1"/>
  <c r="LD6" i="8"/>
  <c r="LD4" i="8" s="1"/>
  <c r="LH6" i="8"/>
  <c r="LH4" i="8" s="1"/>
  <c r="LL6" i="8"/>
  <c r="LL4" i="8" s="1"/>
  <c r="LP6" i="8"/>
  <c r="LP4" i="8" s="1"/>
  <c r="LT6" i="8"/>
  <c r="LT4" i="8" s="1"/>
  <c r="LX6" i="8"/>
  <c r="LX4" i="8" s="1"/>
  <c r="MB6" i="8"/>
  <c r="MB4" i="8" s="1"/>
  <c r="MF6" i="8"/>
  <c r="MF4" i="8" s="1"/>
  <c r="MJ6" i="8"/>
  <c r="MJ4" i="8" s="1"/>
  <c r="MN6" i="8"/>
  <c r="MN4" i="8" s="1"/>
  <c r="MR6" i="8"/>
  <c r="MR4" i="8" s="1"/>
  <c r="MV6" i="8"/>
  <c r="MV4" i="8" s="1"/>
  <c r="MZ6" i="8"/>
  <c r="MZ4" i="8" s="1"/>
  <c r="ND6" i="8"/>
  <c r="ND4" i="8" s="1"/>
  <c r="NH6" i="8"/>
  <c r="NH4" i="8" s="1"/>
  <c r="V6" i="8"/>
  <c r="V4" i="8" s="1"/>
  <c r="AL6" i="8"/>
  <c r="AL4" i="8" s="1"/>
  <c r="AT6" i="8"/>
  <c r="AT4" i="8" s="1"/>
  <c r="BF6" i="8"/>
  <c r="BF4" i="8" s="1"/>
  <c r="BN6" i="8"/>
  <c r="BN4" i="8" s="1"/>
  <c r="BZ6" i="8"/>
  <c r="BZ4" i="8" s="1"/>
  <c r="CL6" i="8"/>
  <c r="CL4" i="8" s="1"/>
  <c r="DB6" i="8"/>
  <c r="DB4" i="8" s="1"/>
  <c r="DJ6" i="8"/>
  <c r="DJ4" i="8" s="1"/>
  <c r="DZ6" i="8"/>
  <c r="DZ4" i="8" s="1"/>
  <c r="EL6" i="8"/>
  <c r="EL4" i="8" s="1"/>
  <c r="EX6" i="8"/>
  <c r="EX4" i="8" s="1"/>
  <c r="FJ6" i="8"/>
  <c r="FJ4" i="8" s="1"/>
  <c r="FV6" i="8"/>
  <c r="FV4" i="8" s="1"/>
  <c r="GH6" i="8"/>
  <c r="GH4" i="8" s="1"/>
  <c r="GT6" i="8"/>
  <c r="GT4" i="8" s="1"/>
  <c r="HF6" i="8"/>
  <c r="HF4" i="8" s="1"/>
  <c r="HR6" i="8"/>
  <c r="HR4" i="8" s="1"/>
  <c r="HV6" i="8"/>
  <c r="HV4" i="8" s="1"/>
  <c r="IL6" i="8"/>
  <c r="IL4" i="8" s="1"/>
  <c r="IT6" i="8"/>
  <c r="IT4" i="8" s="1"/>
  <c r="JF6" i="8"/>
  <c r="JF4" i="8" s="1"/>
  <c r="JR6" i="8"/>
  <c r="JR4" i="8" s="1"/>
  <c r="KD6" i="8"/>
  <c r="KD4" i="8" s="1"/>
  <c r="KP6" i="8"/>
  <c r="KP4" i="8" s="1"/>
  <c r="LB6" i="8"/>
  <c r="LB4" i="8" s="1"/>
  <c r="LN6" i="8"/>
  <c r="LN4" i="8" s="1"/>
  <c r="LV6" i="8"/>
  <c r="LV4" i="8" s="1"/>
  <c r="ML6" i="8"/>
  <c r="ML4" i="8" s="1"/>
  <c r="X6" i="8"/>
  <c r="X4" i="8" s="1"/>
  <c r="AF6" i="8"/>
  <c r="AF4" i="8" s="1"/>
  <c r="U6" i="8"/>
  <c r="U4" i="8" s="1"/>
  <c r="Y6" i="8"/>
  <c r="Y4" i="8" s="1"/>
  <c r="AC6" i="8"/>
  <c r="AC4" i="8" s="1"/>
  <c r="AK6" i="8"/>
  <c r="AK4" i="8" s="1"/>
  <c r="AO6" i="8"/>
  <c r="AO4" i="8" s="1"/>
  <c r="AS6" i="8"/>
  <c r="AS4" i="8" s="1"/>
  <c r="AW6" i="8"/>
  <c r="AW4" i="8" s="1"/>
  <c r="BA6" i="8"/>
  <c r="BA4" i="8" s="1"/>
  <c r="BE6" i="8"/>
  <c r="BE4" i="8" s="1"/>
  <c r="BI6" i="8"/>
  <c r="BI4" i="8" s="1"/>
  <c r="BM6" i="8"/>
  <c r="BM4" i="8" s="1"/>
  <c r="BQ6" i="8"/>
  <c r="BQ4" i="8" s="1"/>
  <c r="BU6" i="8"/>
  <c r="BU4" i="8" s="1"/>
  <c r="BY6" i="8"/>
  <c r="BY4" i="8" s="1"/>
  <c r="CC6" i="8"/>
  <c r="CC4" i="8" s="1"/>
  <c r="CG6" i="8"/>
  <c r="CG4" i="8" s="1"/>
  <c r="CK6" i="8"/>
  <c r="CK4" i="8" s="1"/>
  <c r="CO6" i="8"/>
  <c r="CO4" i="8" s="1"/>
  <c r="CS6" i="8"/>
  <c r="CS4" i="8" s="1"/>
  <c r="CW6" i="8"/>
  <c r="CW4" i="8" s="1"/>
  <c r="DA6" i="8"/>
  <c r="DA4" i="8" s="1"/>
  <c r="DE6" i="8"/>
  <c r="DE4" i="8" s="1"/>
  <c r="DI6" i="8"/>
  <c r="DI4" i="8" s="1"/>
  <c r="DM6" i="8"/>
  <c r="DM4" i="8" s="1"/>
  <c r="DQ6" i="8"/>
  <c r="DQ4" i="8" s="1"/>
  <c r="DU6" i="8"/>
  <c r="DU4" i="8" s="1"/>
  <c r="DY6" i="8"/>
  <c r="DY4" i="8" s="1"/>
  <c r="EC6" i="8"/>
  <c r="EC4" i="8" s="1"/>
  <c r="EG6" i="8"/>
  <c r="EG4" i="8" s="1"/>
  <c r="EK6" i="8"/>
  <c r="EK4" i="8" s="1"/>
  <c r="EO6" i="8"/>
  <c r="EO4" i="8" s="1"/>
  <c r="ES6" i="8"/>
  <c r="ES4" i="8" s="1"/>
  <c r="EW6" i="8"/>
  <c r="EW4" i="8" s="1"/>
  <c r="FA6" i="8"/>
  <c r="FA4" i="8" s="1"/>
  <c r="FE6" i="8"/>
  <c r="FE4" i="8" s="1"/>
  <c r="FI6" i="8"/>
  <c r="FI4" i="8" s="1"/>
  <c r="FM6" i="8"/>
  <c r="FM4" i="8" s="1"/>
  <c r="FQ6" i="8"/>
  <c r="FQ4" i="8" s="1"/>
  <c r="FU6" i="8"/>
  <c r="FU4" i="8" s="1"/>
  <c r="FY6" i="8"/>
  <c r="FY4" i="8" s="1"/>
  <c r="GC6" i="8"/>
  <c r="GC4" i="8" s="1"/>
  <c r="GG6" i="8"/>
  <c r="GG4" i="8" s="1"/>
  <c r="GK6" i="8"/>
  <c r="GK4" i="8" s="1"/>
  <c r="GO6" i="8"/>
  <c r="GO4" i="8" s="1"/>
  <c r="GS6" i="8"/>
  <c r="GS4" i="8" s="1"/>
  <c r="GW6" i="8"/>
  <c r="GW4" i="8" s="1"/>
  <c r="HA6" i="8"/>
  <c r="HA4" i="8" s="1"/>
  <c r="HE6" i="8"/>
  <c r="HE4" i="8" s="1"/>
  <c r="HI6" i="8"/>
  <c r="HI4" i="8" s="1"/>
  <c r="HM6" i="8"/>
  <c r="HM4" i="8" s="1"/>
  <c r="HQ6" i="8"/>
  <c r="HQ4" i="8" s="1"/>
  <c r="HU6" i="8"/>
  <c r="HU4" i="8" s="1"/>
  <c r="HY6" i="8"/>
  <c r="HY4" i="8" s="1"/>
  <c r="IC6" i="8"/>
  <c r="IC4" i="8" s="1"/>
  <c r="IG6" i="8"/>
  <c r="IG4" i="8" s="1"/>
  <c r="IK6" i="8"/>
  <c r="IK4" i="8" s="1"/>
  <c r="IO6" i="8"/>
  <c r="IO4" i="8" s="1"/>
  <c r="IS6" i="8"/>
  <c r="IS4" i="8" s="1"/>
  <c r="IW6" i="8"/>
  <c r="IW4" i="8" s="1"/>
  <c r="JA6" i="8"/>
  <c r="JA4" i="8" s="1"/>
  <c r="JE6" i="8"/>
  <c r="JE4" i="8" s="1"/>
  <c r="JI6" i="8"/>
  <c r="JI4" i="8" s="1"/>
  <c r="JM6" i="8"/>
  <c r="JM4" i="8" s="1"/>
  <c r="JQ6" i="8"/>
  <c r="JQ4" i="8" s="1"/>
  <c r="JY6" i="8"/>
  <c r="JY4" i="8" s="1"/>
  <c r="KC6" i="8"/>
  <c r="KC4" i="8" s="1"/>
  <c r="KG6" i="8"/>
  <c r="KG4" i="8" s="1"/>
  <c r="KK6" i="8"/>
  <c r="KK4" i="8" s="1"/>
  <c r="KO6" i="8"/>
  <c r="KO4" i="8" s="1"/>
  <c r="KS6" i="8"/>
  <c r="KS4" i="8" s="1"/>
  <c r="KW6" i="8"/>
  <c r="KW4" i="8" s="1"/>
  <c r="LA6" i="8"/>
  <c r="LA4" i="8" s="1"/>
  <c r="LE6" i="8"/>
  <c r="LE4" i="8" s="1"/>
  <c r="LI6" i="8"/>
  <c r="LI4" i="8" s="1"/>
  <c r="LM6" i="8"/>
  <c r="LM4" i="8" s="1"/>
  <c r="LQ6" i="8"/>
  <c r="LQ4" i="8" s="1"/>
  <c r="LU6" i="8"/>
  <c r="LU4" i="8" s="1"/>
  <c r="LY6" i="8"/>
  <c r="LY4" i="8" s="1"/>
  <c r="MC6" i="8"/>
  <c r="MC4" i="8" s="1"/>
  <c r="MG6" i="8"/>
  <c r="MG4" i="8" s="1"/>
  <c r="MK6" i="8"/>
  <c r="MK4" i="8" s="1"/>
  <c r="MO6" i="8"/>
  <c r="MO4" i="8" s="1"/>
  <c r="MS6" i="8"/>
  <c r="MS4" i="8" s="1"/>
  <c r="MW6" i="8"/>
  <c r="MW4" i="8" s="1"/>
  <c r="NA6" i="8"/>
  <c r="NA4" i="8" s="1"/>
  <c r="NE6" i="8"/>
  <c r="NE4" i="8" s="1"/>
  <c r="NI6" i="8"/>
  <c r="NI4" i="8" s="1"/>
  <c r="NJ8" i="8" l="1" a="1"/>
  <c r="NJ8" i="8" s="1"/>
  <c r="NJ12" i="8" a="1"/>
  <c r="NJ12" i="8" s="1"/>
  <c r="NJ11" i="8" a="1"/>
  <c r="NJ11" i="8" s="1"/>
  <c r="NJ24" i="8" a="1"/>
  <c r="NJ24" i="8" s="1"/>
  <c r="NJ23" i="8" a="1"/>
  <c r="NJ23" i="8" s="1"/>
  <c r="NJ22" i="8" a="1"/>
  <c r="NJ22" i="8" s="1"/>
  <c r="NJ21" i="8" a="1"/>
  <c r="NJ21" i="8" s="1"/>
  <c r="NJ18" i="8" a="1"/>
  <c r="NJ18" i="8" s="1"/>
  <c r="NJ19" i="8" a="1"/>
  <c r="NJ19" i="8" s="1"/>
  <c r="NJ17" i="8" a="1"/>
  <c r="NJ17" i="8" s="1"/>
  <c r="NJ20" i="8" a="1"/>
  <c r="NJ20" i="8" s="1"/>
  <c r="NJ25" i="8" a="1"/>
  <c r="NJ25" i="8" s="1"/>
  <c r="NJ16" i="8" a="1"/>
  <c r="NJ16" i="8" s="1"/>
  <c r="NJ15" i="8" a="1"/>
  <c r="NJ15" i="8" s="1"/>
  <c r="NJ14" i="8" a="1"/>
  <c r="NJ14" i="8" s="1"/>
  <c r="NJ13" i="8" a="1"/>
  <c r="NJ13" i="8" s="1"/>
  <c r="NJ26" i="8" a="1"/>
  <c r="NJ26" i="8" s="1"/>
  <c r="NJ27" i="8" a="1"/>
  <c r="NJ27" i="8" s="1"/>
  <c r="NJ28" i="8" a="1"/>
  <c r="NJ28" i="8" s="1"/>
  <c r="NJ10" i="8" a="1"/>
  <c r="NJ10" i="8" s="1"/>
  <c r="NJ9" i="8" a="1"/>
  <c r="NJ9" i="8" s="1"/>
  <c r="NJ30" i="8" l="1"/>
</calcChain>
</file>

<file path=xl/sharedStrings.xml><?xml version="1.0" encoding="utf-8"?>
<sst xmlns="http://schemas.openxmlformats.org/spreadsheetml/2006/main" count="161" uniqueCount="87">
  <si>
    <t>Updated On : 2026/05/29</t>
    <phoneticPr fontId="11"/>
  </si>
  <si>
    <t>Updated on</t>
  </si>
  <si>
    <t xml:space="preserve"> </t>
    <phoneticPr fontId="11"/>
  </si>
  <si>
    <t>Leave Breakup</t>
  </si>
  <si>
    <t>Leaves This Month</t>
  </si>
  <si>
    <t>Leaves This Year</t>
  </si>
  <si>
    <t>P</t>
    <phoneticPr fontId="11"/>
  </si>
  <si>
    <t>UP</t>
    <phoneticPr fontId="11"/>
  </si>
  <si>
    <t>ML</t>
    <phoneticPr fontId="11"/>
  </si>
  <si>
    <t>PL</t>
    <phoneticPr fontId="11"/>
  </si>
  <si>
    <t>C</t>
    <phoneticPr fontId="11"/>
  </si>
  <si>
    <t>Co</t>
  </si>
  <si>
    <t>W</t>
  </si>
  <si>
    <t>O</t>
  </si>
  <si>
    <t>H1</t>
  </si>
  <si>
    <t>H2</t>
  </si>
  <si>
    <t>Name</t>
  </si>
  <si>
    <t>Week #</t>
  </si>
  <si>
    <t>E.ID</t>
  </si>
  <si>
    <t>Team</t>
    <phoneticPr fontId="11"/>
  </si>
  <si>
    <t>Sivasree MR</t>
  </si>
  <si>
    <t>A3352</t>
  </si>
  <si>
    <t>Porkodi S</t>
  </si>
  <si>
    <t>A2133</t>
  </si>
  <si>
    <t>AD-Tools</t>
    <phoneticPr fontId="11"/>
  </si>
  <si>
    <t>Yamini S</t>
  </si>
  <si>
    <t>H2</t>
    <phoneticPr fontId="11"/>
  </si>
  <si>
    <t>H1</t>
    <phoneticPr fontId="11"/>
  </si>
  <si>
    <t>A2468</t>
  </si>
  <si>
    <t>Sundar G</t>
  </si>
  <si>
    <t>A3441</t>
  </si>
  <si>
    <t>Santhosh U</t>
  </si>
  <si>
    <t>A3471</t>
  </si>
  <si>
    <t>Priyadharshini T</t>
    <phoneticPr fontId="11"/>
  </si>
  <si>
    <t>A4401</t>
    <phoneticPr fontId="11"/>
  </si>
  <si>
    <t xml:space="preserve">Total Members leave </t>
    <phoneticPr fontId="11"/>
  </si>
  <si>
    <t>Leave Name</t>
  </si>
  <si>
    <t>Code</t>
  </si>
  <si>
    <t>Planned Leave</t>
    <phoneticPr fontId="11"/>
  </si>
  <si>
    <t>Unplanned Leave</t>
    <phoneticPr fontId="11"/>
  </si>
  <si>
    <t xml:space="preserve">Maternity Leave </t>
  </si>
  <si>
    <t>Paternity Leave</t>
  </si>
  <si>
    <t>Casual Leave</t>
  </si>
  <si>
    <t>C</t>
  </si>
  <si>
    <t xml:space="preserve">Compassionate </t>
  </si>
  <si>
    <t>Work from Home</t>
  </si>
  <si>
    <t>Comp OFF</t>
  </si>
  <si>
    <t>O</t>
    <phoneticPr fontId="11"/>
  </si>
  <si>
    <t>First Half Leave</t>
    <phoneticPr fontId="11"/>
  </si>
  <si>
    <t>Second Half Leave</t>
    <phoneticPr fontId="11"/>
  </si>
  <si>
    <t>Select Working Days</t>
  </si>
  <si>
    <t>Mon</t>
  </si>
  <si>
    <t>Yes</t>
  </si>
  <si>
    <t>Tue</t>
  </si>
  <si>
    <t>Wed</t>
  </si>
  <si>
    <t>Thu</t>
  </si>
  <si>
    <t>Fri</t>
  </si>
  <si>
    <t>Sat</t>
  </si>
  <si>
    <t>No</t>
  </si>
  <si>
    <t>Sun</t>
  </si>
  <si>
    <t>Holiday</t>
    <phoneticPr fontId="11"/>
  </si>
  <si>
    <t>Date</t>
  </si>
  <si>
    <t>New year’s Day</t>
  </si>
  <si>
    <t>Pongal</t>
  </si>
  <si>
    <t>Thiruvalluvar Day</t>
  </si>
  <si>
    <t>Republic Day</t>
  </si>
  <si>
    <t>Good Friday</t>
    <phoneticPr fontId="11"/>
  </si>
  <si>
    <t>Tamil New Year Day/Dr. Ambedkar Day</t>
    <phoneticPr fontId="11"/>
  </si>
  <si>
    <t>TN election</t>
    <phoneticPr fontId="11"/>
  </si>
  <si>
    <t>May Day</t>
    <phoneticPr fontId="11"/>
  </si>
  <si>
    <t>Milad un-Nabi</t>
    <phoneticPr fontId="11"/>
  </si>
  <si>
    <t>Vinayakar Chathurthi</t>
  </si>
  <si>
    <t>Gandhi Jayanthi/Vijayadashimi</t>
    <phoneticPr fontId="11"/>
  </si>
  <si>
    <t>Ayutha Pooja</t>
    <phoneticPr fontId="11"/>
  </si>
  <si>
    <t>Christmas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</si>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</sst>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"/>
    <numFmt numFmtId="165" formatCode=";;;"/>
    <numFmt numFmtId="166" formatCode="dd\ mmm\,\ yyyy"/>
    <numFmt numFmtId="167" formatCode="General;General;"/>
    <numFmt numFmtId="168" formatCode="[$-409]d\-mmm;@"/>
  </numFmts>
  <fonts count="22">
    <font>
      <sz val="11"/>
      <color theme="1"/>
      <name val="ＭＳ Ｐゴシック"/>
      <family val="2"/>
      <scheme val="minor"/>
    </font>
    <font>
      <sz val="8"/>
      <color theme="1"/>
      <name val="ＭＳ Ｐゴシック"/>
      <family val="2"/>
      <scheme val="minor"/>
    </font>
    <font>
      <i/>
      <sz val="11"/>
      <color theme="1"/>
      <name val="ＭＳ Ｐゴシック"/>
      <family val="2"/>
      <scheme val="minor"/>
    </font>
    <font>
      <b/>
      <i/>
      <sz val="11"/>
      <color theme="1"/>
      <name val="ＭＳ Ｐゴシック"/>
      <family val="2"/>
      <scheme val="minor"/>
    </font>
    <font>
      <b/>
      <i/>
      <sz val="9"/>
      <color theme="1"/>
      <name val="ＭＳ Ｐゴシック"/>
      <family val="2"/>
      <scheme val="minor"/>
    </font>
    <font>
      <b/>
      <i/>
      <sz val="12"/>
      <color theme="1"/>
      <name val="ＭＳ Ｐゴシック"/>
      <family val="2"/>
      <scheme val="minor"/>
    </font>
    <font>
      <i/>
      <sz val="11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b/>
      <i/>
      <sz val="11"/>
      <color theme="4" tint="-0.249977111117893"/>
      <name val="ＭＳ Ｐゴシック"/>
      <family val="2"/>
      <scheme val="minor"/>
    </font>
    <font>
      <i/>
      <sz val="9"/>
      <color theme="3" tint="0.3999755851924192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0"/>
      <color theme="1"/>
      <name val="Tahoma"/>
      <family val="2"/>
    </font>
    <font>
      <sz val="11"/>
      <name val="ＭＳ Ｐゴシック"/>
      <family val="3"/>
      <charset val="128"/>
    </font>
    <font>
      <sz val="10"/>
      <name val="Tahoma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3" fillId="0" borderId="0"/>
    <xf numFmtId="0" fontId="14" fillId="9" borderId="0" applyNumberFormat="0" applyBorder="0" applyAlignment="0" applyProtection="0">
      <alignment vertical="center"/>
    </xf>
    <xf numFmtId="0" fontId="15" fillId="0" borderId="0"/>
    <xf numFmtId="0" fontId="17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</cellStyleXfs>
  <cellXfs count="74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1" xfId="0" applyFont="1" applyFill="1" applyBorder="1"/>
    <xf numFmtId="0" fontId="2" fillId="0" borderId="0" xfId="0" applyFont="1" applyAlignment="1">
      <alignment horizontal="center" vertical="center"/>
    </xf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5" fontId="0" fillId="0" borderId="0" xfId="0" applyNumberFormat="1"/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/>
    <xf numFmtId="0" fontId="7" fillId="0" borderId="1" xfId="0" applyFont="1" applyBorder="1"/>
    <xf numFmtId="0" fontId="0" fillId="8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6" borderId="1" xfId="0" applyFill="1" applyBorder="1"/>
    <xf numFmtId="167" fontId="0" fillId="6" borderId="1" xfId="0" applyNumberFormat="1" applyFill="1" applyBorder="1" applyAlignment="1">
      <alignment horizontal="center"/>
    </xf>
    <xf numFmtId="14" fontId="7" fillId="0" borderId="1" xfId="0" applyNumberFormat="1" applyFont="1" applyBorder="1"/>
    <xf numFmtId="0" fontId="10" fillId="3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Continuous" vertical="center"/>
    </xf>
    <xf numFmtId="0" fontId="2" fillId="6" borderId="6" xfId="0" applyFont="1" applyFill="1" applyBorder="1" applyAlignment="1">
      <alignment horizontal="centerContinuous" vertical="center"/>
    </xf>
    <xf numFmtId="0" fontId="8" fillId="7" borderId="8" xfId="0" applyFont="1" applyFill="1" applyBorder="1" applyAlignment="1">
      <alignment horizontal="centerContinuous"/>
    </xf>
    <xf numFmtId="0" fontId="0" fillId="0" borderId="8" xfId="0" applyBorder="1"/>
    <xf numFmtId="0" fontId="16" fillId="10" borderId="1" xfId="3" applyFont="1" applyFill="1" applyBorder="1" applyAlignment="1">
      <alignment horizontal="center"/>
    </xf>
    <xf numFmtId="0" fontId="12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/>
    </xf>
    <xf numFmtId="0" fontId="16" fillId="11" borderId="1" xfId="3" applyFont="1" applyFill="1" applyBorder="1" applyAlignment="1">
      <alignment horizontal="center"/>
    </xf>
    <xf numFmtId="0" fontId="18" fillId="2" borderId="1" xfId="4" applyFont="1" applyFill="1" applyBorder="1" applyAlignment="1">
      <alignment horizontal="left" vertical="center"/>
    </xf>
    <xf numFmtId="0" fontId="1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65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7" borderId="1" xfId="0" applyFont="1" applyFill="1" applyBorder="1" applyAlignment="1">
      <alignment horizontal="centerContinuous"/>
    </xf>
    <xf numFmtId="0" fontId="13" fillId="5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6" fillId="11" borderId="1" xfId="0" applyFont="1" applyFill="1" applyBorder="1" applyAlignment="1">
      <alignment vertical="center" wrapText="1"/>
    </xf>
    <xf numFmtId="0" fontId="18" fillId="12" borderId="1" xfId="0" applyFont="1" applyFill="1" applyBorder="1" applyAlignment="1">
      <alignment horizontal="left"/>
    </xf>
    <xf numFmtId="0" fontId="18" fillId="12" borderId="1" xfId="4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166" fontId="7" fillId="0" borderId="1" xfId="0" applyNumberFormat="1" applyFont="1" applyBorder="1"/>
    <xf numFmtId="166" fontId="12" fillId="0" borderId="1" xfId="0" applyNumberFormat="1" applyFont="1" applyBorder="1"/>
    <xf numFmtId="168" fontId="0" fillId="15" borderId="1" xfId="0" applyNumberFormat="1" applyFill="1" applyBorder="1"/>
    <xf numFmtId="0" fontId="13" fillId="0" borderId="1" xfId="0" applyFont="1" applyBorder="1"/>
    <xf numFmtId="168" fontId="0" fillId="15" borderId="1" xfId="0" applyNumberFormat="1" applyFill="1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3" borderId="1" xfId="0" applyFill="1" applyBorder="1"/>
    <xf numFmtId="0" fontId="0" fillId="16" borderId="1" xfId="0" applyFill="1" applyBorder="1"/>
    <xf numFmtId="0" fontId="0" fillId="6" borderId="10" xfId="0" applyFill="1" applyBorder="1"/>
    <xf numFmtId="0" fontId="10" fillId="3" borderId="5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0" fillId="15" borderId="7" xfId="0" applyFill="1" applyBorder="1" applyAlignment="1">
      <alignment horizontal="center" textRotation="90"/>
    </xf>
    <xf numFmtId="0" fontId="0" fillId="15" borderId="5" xfId="0" applyFill="1" applyBorder="1" applyAlignment="1">
      <alignment horizontal="center" textRotation="90"/>
    </xf>
    <xf numFmtId="0" fontId="0" fillId="15" borderId="4" xfId="0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</cellXfs>
  <cellStyles count="7">
    <cellStyle name="Neutral 2" xfId="2" xr:uid="{00000000-0005-0000-0000-000000000000}"/>
    <cellStyle name="Normal 2" xfId="4" xr:uid="{00000000-0005-0000-0000-000002000000}"/>
    <cellStyle name="Normal 2 2" xfId="6" xr:uid="{00000000-0005-0000-0000-000003000000}"/>
    <cellStyle name="Normal 3" xfId="3" xr:uid="{00000000-0005-0000-0000-000004000000}"/>
    <cellStyle name="Normal 4" xfId="5" xr:uid="{00000000-0005-0000-0000-000005000000}"/>
    <cellStyle name="Normal 5" xfId="1" xr:uid="{00000000-0005-0000-0000-000006000000}"/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DDD9C4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133</xdr:col>
      <xdr:colOff>121915</xdr:colOff>
      <xdr:row>2</xdr:row>
      <xdr:rowOff>76201</xdr:rowOff>
    </xdr:from>
    <xdr:to>
      <xdr:col>143</xdr:col>
      <xdr:colOff>38317</xdr:colOff>
      <xdr:row>2</xdr:row>
      <xdr:rowOff>413386</xdr:rowOff>
    </xdr:to>
    <xdr:sp macro="" textlink="Sheet3!G2">
      <xdr:nvSpPr>
        <xdr:cNvPr id="3" name="Rectangle 2" descr="1de3c1bd-6fae-4297-aff5-ab163ee66cb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93815" y="438151"/>
          <a:ext cx="2297652" cy="3371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May 2026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1061084</xdr:colOff>
      <xdr:row>0</xdr:row>
      <xdr:rowOff>0</xdr:rowOff>
    </xdr:from>
    <xdr:to>
      <xdr:col>138</xdr:col>
      <xdr:colOff>3187</xdr:colOff>
      <xdr:row>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23924" y="0"/>
          <a:ext cx="418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i="1">
              <a:solidFill>
                <a:srgbClr val="FF0000"/>
              </a:solidFill>
            </a:rPr>
            <a:t>&lt;-- ONLY use </a:t>
          </a:r>
          <a:r>
            <a:rPr lang="en-IN" sz="1100" i="1" baseline="0">
              <a:solidFill>
                <a:srgbClr val="FF0000"/>
              </a:solidFill>
            </a:rPr>
            <a:t>to Change the Starting Month (else use the triagle icons)</a:t>
          </a:r>
          <a:endParaRPr lang="en-IN" sz="1100" i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1061085</xdr:colOff>
      <xdr:row>1</xdr:row>
      <xdr:rowOff>32385</xdr:rowOff>
    </xdr:from>
    <xdr:to>
      <xdr:col>137</xdr:col>
      <xdr:colOff>56304</xdr:colOff>
      <xdr:row>2</xdr:row>
      <xdr:rowOff>34290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23925" y="209550"/>
          <a:ext cx="40005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i="1">
              <a:solidFill>
                <a:schemeClr val="tx2">
                  <a:lumMod val="60000"/>
                  <a:lumOff val="40000"/>
                </a:schemeClr>
              </a:solidFill>
            </a:rPr>
            <a:t>&lt;-- Select</a:t>
          </a:r>
          <a:r>
            <a:rPr lang="en-IN" sz="1100" i="1" baseline="0">
              <a:solidFill>
                <a:schemeClr val="tx2">
                  <a:lumMod val="60000"/>
                  <a:lumOff val="40000"/>
                </a:schemeClr>
              </a:solidFill>
            </a:rPr>
            <a:t> Year</a:t>
          </a:r>
          <a:endParaRPr lang="en-IN" sz="1100" i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142</xdr:col>
      <xdr:colOff>207968</xdr:colOff>
      <xdr:row>2</xdr:row>
      <xdr:rowOff>109538</xdr:rowOff>
    </xdr:from>
    <xdr:to>
      <xdr:col>144</xdr:col>
      <xdr:colOff>111547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132</xdr:col>
      <xdr:colOff>94403</xdr:colOff>
      <xdr:row>2</xdr:row>
      <xdr:rowOff>109538</xdr:rowOff>
    </xdr:from>
    <xdr:to>
      <xdr:col>134</xdr:col>
      <xdr:colOff>18203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14" totalsRowShown="0" headerRowDxfId="6" dataDxfId="5" headerRowBorderDxfId="3" tableBorderDxfId="4" totalsRowBorderDxfId="2">
  <tableColumns count="2">
    <tableColumn id="1" xr3:uid="{00000000-0010-0000-0000-000001000000}" name="Holiday" dataDxfId="1"/>
    <tableColumn id="2" xr3:uid="{00000000-0010-0000-0000-000002000000}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>
    <pageSetUpPr fitToPage="1"/>
  </sheetPr>
  <dimension ref="A1:ACH55"/>
  <sheetViews>
    <sheetView showGridLines="0" tabSelected="1" showWhiteSpace="0" zoomScaleNormal="100" zoomScaleSheetLayoutView="100" workbookViewId="0">
      <pane xSplit="1" ySplit="7" topLeftCell="DV8" activePane="bottomRight" state="frozen"/>
      <selection pane="bottomRight" activeCell="ED4" sqref="ED4"/>
      <selection pane="bottomLeft" activeCell="A8" sqref="A8"/>
      <selection pane="topRight" activeCell="B1" sqref="B1"/>
    </sheetView>
  </sheetViews>
  <sheetFormatPr defaultRowHeight="13.5"/>
  <cols>
    <col min="1" max="1" width="28" customWidth="1"/>
    <col min="2" max="3" width="4.7109375" hidden="1" customWidth="1"/>
    <col min="4" max="125" width="3.5703125" hidden="1" customWidth="1"/>
    <col min="126" max="156" width="3.5703125" customWidth="1"/>
    <col min="157" max="307" width="3.5703125" hidden="1" customWidth="1"/>
    <col min="308" max="308" width="3.5703125" style="36" hidden="1" customWidth="1"/>
    <col min="309" max="373" width="3.5703125" hidden="1" customWidth="1"/>
    <col min="374" max="374" width="9.42578125" customWidth="1"/>
    <col min="375" max="375" width="8.42578125" customWidth="1"/>
    <col min="376" max="376" width="3.5703125" customWidth="1"/>
    <col min="377" max="377" width="3.42578125" customWidth="1"/>
    <col min="378" max="378" width="3.5703125" hidden="1" customWidth="1"/>
    <col min="379" max="385" width="3.5703125" customWidth="1"/>
    <col min="386" max="386" width="8.42578125" bestFit="1" customWidth="1"/>
    <col min="387" max="387" width="3" customWidth="1"/>
    <col min="388" max="388" width="15" customWidth="1"/>
    <col min="389" max="389" width="23.85546875" bestFit="1" customWidth="1"/>
    <col min="390" max="390" width="6" bestFit="1" customWidth="1"/>
    <col min="391" max="391" width="11.85546875" bestFit="1" customWidth="1"/>
  </cols>
  <sheetData>
    <row r="1" spans="1:762" ht="14.25">
      <c r="A1" s="9">
        <v>1</v>
      </c>
      <c r="B1" s="18"/>
    </row>
    <row r="2" spans="1:762" ht="14.25">
      <c r="A2" s="9">
        <v>2026</v>
      </c>
      <c r="B2" s="18"/>
      <c r="NL2" t="s">
        <v>0</v>
      </c>
    </row>
    <row r="3" spans="1:762" ht="41.25" customHeight="1">
      <c r="A3" s="12">
        <v>5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V3" s="37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0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AND(NOT(ISNUMBER(MATCH(DATE($A$2,INT((COLUMN()-1)/31.001)+$A$1,ROUNDUP(MOD(COLUMN()-1,31.001),0)),HolidayList[Date],0))),(VLOOKUP(VLOOKUP(WEEKDAY(DATE($A$2,INT((COLUMN()-1)/31.001)+$A$1,ROUNDUP(MOD(COLUMN()-1,31.001),0)),2),Sheet3!$D$1:$E$7,2,0),$NX$49:$NY$55,2,0)="Yes"))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62" t="s">
        <v>1</v>
      </c>
      <c r="NW3" s="2"/>
      <c r="NZ3" s="2"/>
      <c r="OA3" s="2" t="s">
        <v>2</v>
      </c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</row>
    <row r="4" spans="1:762" ht="13.5" customHeight="1">
      <c r="A4" s="4"/>
      <c r="B4" s="15" t="b">
        <f>IFERROR(IF(AND(VLOOKUP(B6,$NX$49:$NY$55,2,0)="Yes",NOT(ISNUMBER(VLOOKUP(DATE($A$2,$A$3+$A$1-1,B5),HolidayList[Date],1,0)))),TRUE,FALSE),FALSE)</f>
        <v>0</v>
      </c>
      <c r="C4" s="15" t="b">
        <f>IFERROR(IF(AND(VLOOKUP(C6,$NX$49:$NY$55,2,0)="Yes",NOT(ISNUMBER(VLOOKUP(DATE($A$2,$A$3+$A$1-1,C5),HolidayList[Date],1,0)))),TRUE,FALSE),FALSE)</f>
        <v>0</v>
      </c>
      <c r="D4" s="15" t="b">
        <f>IFERROR(IF(AND(VLOOKUP(D6,$NX$49:$NY$55,2,0)="Yes",NOT(ISNUMBER(VLOOKUP(DATE($A$2,$A$3+$A$1-1,D5),HolidayList[Date],1,0)))),TRUE,FALSE),FALSE)</f>
        <v>0</v>
      </c>
      <c r="E4" s="15" t="b">
        <f>IFERROR(IF(AND(VLOOKUP(E6,$NX$49:$NY$55,2,0)="Yes",NOT(ISNUMBER(VLOOKUP(DATE($A$2,$A$3+$A$1-1,E5),HolidayList[Date],1,0)))),TRUE,FALSE),FALSE)</f>
        <v>0</v>
      </c>
      <c r="F4" s="15" t="b">
        <f>IFERROR(IF(AND(VLOOKUP(F6,$NX$49:$NY$55,2,0)="Yes",NOT(ISNUMBER(VLOOKUP(DATE($A$2,$A$3+$A$1-1,F5),HolidayList[Date],1,0)))),TRUE,FALSE),FALSE)</f>
        <v>0</v>
      </c>
      <c r="G4" s="15" t="b">
        <f>IFERROR(IF(AND(VLOOKUP(G6,$NX$49:$NY$55,2,0)="Yes",NOT(ISNUMBER(VLOOKUP(DATE($A$2,$A$3+$A$1-1,G5),HolidayList[Date],1,0)))),TRUE,FALSE),FALSE)</f>
        <v>0</v>
      </c>
      <c r="H4" s="15" t="b">
        <f>IFERROR(IF(AND(VLOOKUP(H6,$NX$49:$NY$55,2,0)="Yes",NOT(ISNUMBER(VLOOKUP(DATE($A$2,$A$3+$A$1-1,H5),HolidayList[Date],1,0)))),TRUE,FALSE),FALSE)</f>
        <v>0</v>
      </c>
      <c r="I4" s="15" t="b">
        <f>IFERROR(IF(AND(VLOOKUP(I6,$NX$49:$NY$55,2,0)="Yes",NOT(ISNUMBER(VLOOKUP(DATE($A$2,$A$3+$A$1-1,I5),HolidayList[Date],1,0)))),TRUE,FALSE),FALSE)</f>
        <v>0</v>
      </c>
      <c r="J4" s="15" t="b">
        <f>IFERROR(IF(AND(VLOOKUP(J6,$NX$49:$NY$55,2,0)="Yes",NOT(ISNUMBER(VLOOKUP(DATE($A$2,$A$3+$A$1-1,J5),HolidayList[Date],1,0)))),TRUE,FALSE),FALSE)</f>
        <v>0</v>
      </c>
      <c r="K4" s="15" t="b">
        <f>IFERROR(IF(AND(VLOOKUP(K6,$NX$49:$NY$55,2,0)="Yes",NOT(ISNUMBER(VLOOKUP(DATE($A$2,$A$3+$A$1-1,K5),HolidayList[Date],1,0)))),TRUE,FALSE),FALSE)</f>
        <v>0</v>
      </c>
      <c r="L4" s="15" t="b">
        <f>IFERROR(IF(AND(VLOOKUP(L6,$NX$49:$NY$55,2,0)="Yes",NOT(ISNUMBER(VLOOKUP(DATE($A$2,$A$3+$A$1-1,L5),HolidayList[Date],1,0)))),TRUE,FALSE),FALSE)</f>
        <v>0</v>
      </c>
      <c r="M4" s="15" t="b">
        <f>IFERROR(IF(AND(VLOOKUP(M6,$NX$49:$NY$55,2,0)="Yes",NOT(ISNUMBER(VLOOKUP(DATE($A$2,$A$3+$A$1-1,M5),HolidayList[Date],1,0)))),TRUE,FALSE),FALSE)</f>
        <v>0</v>
      </c>
      <c r="N4" s="15" t="b">
        <f>IFERROR(IF(AND(VLOOKUP(N6,$NX$49:$NY$55,2,0)="Yes",NOT(ISNUMBER(VLOOKUP(DATE($A$2,$A$3+$A$1-1,N5),HolidayList[Date],1,0)))),TRUE,FALSE),FALSE)</f>
        <v>0</v>
      </c>
      <c r="O4" s="15" t="b">
        <f>IFERROR(IF(AND(VLOOKUP(O6,$NX$49:$NY$55,2,0)="Yes",NOT(ISNUMBER(VLOOKUP(DATE($A$2,$A$3+$A$1-1,O5),HolidayList[Date],1,0)))),TRUE,FALSE),FALSE)</f>
        <v>0</v>
      </c>
      <c r="P4" s="15" t="b">
        <f>IFERROR(IF(AND(VLOOKUP(P6,$NX$49:$NY$55,2,0)="Yes",NOT(ISNUMBER(VLOOKUP(DATE($A$2,$A$3+$A$1-1,P5),HolidayList[Date],1,0)))),TRUE,FALSE),FALSE)</f>
        <v>0</v>
      </c>
      <c r="Q4" s="15" t="b">
        <f>IFERROR(IF(AND(VLOOKUP(Q6,$NX$49:$NY$55,2,0)="Yes",NOT(ISNUMBER(VLOOKUP(DATE($A$2,$A$3+$A$1-1,Q5),HolidayList[Date],1,0)))),TRUE,FALSE),FALSE)</f>
        <v>0</v>
      </c>
      <c r="R4" s="15" t="b">
        <f>IFERROR(IF(AND(VLOOKUP(R6,$NX$49:$NY$55,2,0)="Yes",NOT(ISNUMBER(VLOOKUP(DATE($A$2,$A$3+$A$1-1,R5),HolidayList[Date],1,0)))),TRUE,FALSE),FALSE)</f>
        <v>0</v>
      </c>
      <c r="S4" s="15" t="b">
        <f>IFERROR(IF(AND(VLOOKUP(S6,$NX$49:$NY$55,2,0)="Yes",NOT(ISNUMBER(VLOOKUP(DATE($A$2,$A$3+$A$1-1,S5),HolidayList[Date],1,0)))),TRUE,FALSE),FALSE)</f>
        <v>0</v>
      </c>
      <c r="T4" s="15" t="b">
        <f>IFERROR(IF(AND(VLOOKUP(T6,$NX$49:$NY$55,2,0)="Yes",NOT(ISNUMBER(VLOOKUP(DATE($A$2,$A$3+$A$1-1,T5),HolidayList[Date],1,0)))),TRUE,FALSE),FALSE)</f>
        <v>0</v>
      </c>
      <c r="U4" s="15" t="b">
        <f>IFERROR(IF(AND(VLOOKUP(U6,$NX$49:$NY$55,2,0)="Yes",NOT(ISNUMBER(VLOOKUP(DATE($A$2,$A$3+$A$1-1,U5),HolidayList[Date],1,0)))),TRUE,FALSE),FALSE)</f>
        <v>0</v>
      </c>
      <c r="V4" s="15" t="b">
        <f>IFERROR(IF(AND(VLOOKUP(V6,$NX$49:$NY$55,2,0)="Yes",NOT(ISNUMBER(VLOOKUP(DATE($A$2,$A$3+$A$1-1,V5),HolidayList[Date],1,0)))),TRUE,FALSE),FALSE)</f>
        <v>0</v>
      </c>
      <c r="W4" s="15" t="b">
        <f>IFERROR(IF(AND(VLOOKUP(W6,$NX$49:$NY$55,2,0)="Yes",NOT(ISNUMBER(VLOOKUP(DATE($A$2,$A$3+$A$1-1,W5),HolidayList[Date],1,0)))),TRUE,FALSE),FALSE)</f>
        <v>0</v>
      </c>
      <c r="X4" s="15" t="b">
        <f>IFERROR(IF(AND(VLOOKUP(X6,$NX$49:$NY$55,2,0)="Yes",NOT(ISNUMBER(VLOOKUP(DATE($A$2,$A$3+$A$1-1,X5),HolidayList[Date],1,0)))),TRUE,FALSE),FALSE)</f>
        <v>0</v>
      </c>
      <c r="Y4" s="15" t="b">
        <f>IFERROR(IF(AND(VLOOKUP(Y6,$NX$49:$NY$55,2,0)="Yes",NOT(ISNUMBER(VLOOKUP(DATE($A$2,$A$3+$A$1-1,Y5),HolidayList[Date],1,0)))),TRUE,FALSE),FALSE)</f>
        <v>0</v>
      </c>
      <c r="Z4" s="15" t="b">
        <f>IFERROR(IF(AND(VLOOKUP(Z6,$NX$49:$NY$55,2,0)="Yes",NOT(ISNUMBER(VLOOKUP(DATE($A$2,$A$3+$A$1-1,Z5),HolidayList[Date],1,0)))),TRUE,FALSE),FALSE)</f>
        <v>0</v>
      </c>
      <c r="AA4" s="15" t="b">
        <f>IFERROR(IF(AND(VLOOKUP(AA6,$NX$49:$NY$55,2,0)="Yes",NOT(ISNUMBER(VLOOKUP(DATE($A$2,$A$3+$A$1-1,AA5),HolidayList[Date],1,0)))),TRUE,FALSE),FALSE)</f>
        <v>0</v>
      </c>
      <c r="AB4" s="15" t="b">
        <f>IFERROR(IF(AND(VLOOKUP(AB6,$NX$49:$NY$55,2,0)="Yes",NOT(ISNUMBER(VLOOKUP(DATE($A$2,$A$3+$A$1-1,AB5),HolidayList[Date],1,0)))),TRUE,FALSE),FALSE)</f>
        <v>0</v>
      </c>
      <c r="AC4" s="15" t="b">
        <f>IFERROR(IF(AND(VLOOKUP(AC6,$NX$49:$NY$55,2,0)="Yes",NOT(ISNUMBER(VLOOKUP(DATE($A$2,$A$3+$A$1-1,AC5),HolidayList[Date],1,0)))),TRUE,FALSE),FALSE)</f>
        <v>0</v>
      </c>
      <c r="AD4" s="15" t="b">
        <f>IFERROR(IF(AND(VLOOKUP(AD6,$NX$49:$NY$55,2,0)="Yes",NOT(ISNUMBER(VLOOKUP(DATE($A$2,$A$3+$A$1-1,AD5),HolidayList[Date],1,0)))),TRUE,FALSE),FALSE)</f>
        <v>0</v>
      </c>
      <c r="AE4" s="15" t="b">
        <f>IFERROR(IF(AND(VLOOKUP(AE6,$NX$49:$NY$55,2,0)="Yes",NOT(ISNUMBER(VLOOKUP(DATE($A$2,$A$3+$A$1-1,AE5),HolidayList[Date],1,0)))),TRUE,FALSE),FALSE)</f>
        <v>0</v>
      </c>
      <c r="AF4" s="15" t="b">
        <f>IFERROR(IF(AND(VLOOKUP(AF6,$NX$49:$NY$55,2,0)="Yes",NOT(ISNUMBER(VLOOKUP(DATE($A$2,$A$3+$A$1-1,AF5),HolidayList[Date],1,0)))),TRUE,FALSE),FALSE)</f>
        <v>0</v>
      </c>
      <c r="AG4" s="15" t="b">
        <f>IFERROR(IF(AND(VLOOKUP(AG6,$NX$49:$NY$55,2,0)="Yes",NOT(ISNUMBER(VLOOKUP(DATE($A$2,$A$3+$A$1-1,AG5),HolidayList[Date],1,0)))),TRUE,FALSE),FALSE)</f>
        <v>0</v>
      </c>
      <c r="AH4" s="15" t="b">
        <f>IFERROR(IF(AND(VLOOKUP(AH6,$NX$49:$NY$55,2,0)="Yes",NOT(ISNUMBER(VLOOKUP(DATE($A$2,$A$3+$A$1-1,AH5),HolidayList[Date],1,0)))),TRUE,FALSE),FALSE)</f>
        <v>0</v>
      </c>
      <c r="AI4" s="15" t="b">
        <f>IFERROR(IF(AND(VLOOKUP(AI6,$NX$49:$NY$55,2,0)="Yes",NOT(ISNUMBER(VLOOKUP(DATE($A$2,$A$3+$A$1-1,AI5),HolidayList[Date],1,0)))),TRUE,FALSE),FALSE)</f>
        <v>0</v>
      </c>
      <c r="AJ4" s="15" t="b">
        <f>IFERROR(IF(AND(VLOOKUP(AJ6,$NX$49:$NY$55,2,0)="Yes",NOT(ISNUMBER(VLOOKUP(DATE($A$2,$A$3+$A$1-1,AJ5),HolidayList[Date],1,0)))),TRUE,FALSE),FALSE)</f>
        <v>0</v>
      </c>
      <c r="AK4" s="15" t="b">
        <f>IFERROR(IF(AND(VLOOKUP(AK6,$NX$49:$NY$55,2,0)="Yes",NOT(ISNUMBER(VLOOKUP(DATE($A$2,$A$3+$A$1-1,AK5),HolidayList[Date],1,0)))),TRUE,FALSE),FALSE)</f>
        <v>0</v>
      </c>
      <c r="AL4" s="15" t="b">
        <f>IFERROR(IF(AND(VLOOKUP(AL6,$NX$49:$NY$55,2,0)="Yes",NOT(ISNUMBER(VLOOKUP(DATE($A$2,$A$3+$A$1-1,AL5),HolidayList[Date],1,0)))),TRUE,FALSE),FALSE)</f>
        <v>0</v>
      </c>
      <c r="AM4" s="15" t="b">
        <f>IFERROR(IF(AND(VLOOKUP(AM6,$NX$49:$NY$55,2,0)="Yes",NOT(ISNUMBER(VLOOKUP(DATE($A$2,$A$3+$A$1-1,AM5),HolidayList[Date],1,0)))),TRUE,FALSE),FALSE)</f>
        <v>0</v>
      </c>
      <c r="AN4" s="15" t="b">
        <f>IFERROR(IF(AND(VLOOKUP(AN6,$NX$49:$NY$55,2,0)="Yes",NOT(ISNUMBER(VLOOKUP(DATE($A$2,$A$3+$A$1-1,AN5),HolidayList[Date],1,0)))),TRUE,FALSE),FALSE)</f>
        <v>0</v>
      </c>
      <c r="AO4" s="15" t="b">
        <f>IFERROR(IF(AND(VLOOKUP(AO6,$NX$49:$NY$55,2,0)="Yes",NOT(ISNUMBER(VLOOKUP(DATE($A$2,$A$3+$A$1-1,AO5),HolidayList[Date],1,0)))),TRUE,FALSE),FALSE)</f>
        <v>0</v>
      </c>
      <c r="AP4" s="15" t="b">
        <f>IFERROR(IF(AND(VLOOKUP(AP6,$NX$49:$NY$55,2,0)="Yes",NOT(ISNUMBER(VLOOKUP(DATE($A$2,$A$3+$A$1-1,AP5),HolidayList[Date],1,0)))),TRUE,FALSE),FALSE)</f>
        <v>0</v>
      </c>
      <c r="AQ4" s="15" t="b">
        <f>IFERROR(IF(AND(VLOOKUP(AQ6,$NX$49:$NY$55,2,0)="Yes",NOT(ISNUMBER(VLOOKUP(DATE($A$2,$A$3+$A$1-1,AQ5),HolidayList[Date],1,0)))),TRUE,FALSE),FALSE)</f>
        <v>0</v>
      </c>
      <c r="AR4" s="15" t="b">
        <f>IFERROR(IF(AND(VLOOKUP(AR6,$NX$49:$NY$55,2,0)="Yes",NOT(ISNUMBER(VLOOKUP(DATE($A$2,$A$3+$A$1-1,AR5),HolidayList[Date],1,0)))),TRUE,FALSE),FALSE)</f>
        <v>0</v>
      </c>
      <c r="AS4" s="15" t="b">
        <f>IFERROR(IF(AND(VLOOKUP(AS6,$NX$49:$NY$55,2,0)="Yes",NOT(ISNUMBER(VLOOKUP(DATE($A$2,$A$3+$A$1-1,AS5),HolidayList[Date],1,0)))),TRUE,FALSE),FALSE)</f>
        <v>0</v>
      </c>
      <c r="AT4" s="15" t="b">
        <f>IFERROR(IF(AND(VLOOKUP(AT6,$NX$49:$NY$55,2,0)="Yes",NOT(ISNUMBER(VLOOKUP(DATE($A$2,$A$3+$A$1-1,AT5),HolidayList[Date],1,0)))),TRUE,FALSE),FALSE)</f>
        <v>0</v>
      </c>
      <c r="AU4" s="15" t="b">
        <f>IFERROR(IF(AND(VLOOKUP(AU6,$NX$49:$NY$55,2,0)="Yes",NOT(ISNUMBER(VLOOKUP(DATE($A$2,$A$3+$A$1-1,AU5),HolidayList[Date],1,0)))),TRUE,FALSE),FALSE)</f>
        <v>0</v>
      </c>
      <c r="AV4" s="15" t="b">
        <f>IFERROR(IF(AND(VLOOKUP(AV6,$NX$49:$NY$55,2,0)="Yes",NOT(ISNUMBER(VLOOKUP(DATE($A$2,$A$3+$A$1-1,AV5),HolidayList[Date],1,0)))),TRUE,FALSE),FALSE)</f>
        <v>0</v>
      </c>
      <c r="AW4" s="15" t="b">
        <f>IFERROR(IF(AND(VLOOKUP(AW6,$NX$49:$NY$55,2,0)="Yes",NOT(ISNUMBER(VLOOKUP(DATE($A$2,$A$3+$A$1-1,AW5),HolidayList[Date],1,0)))),TRUE,FALSE),FALSE)</f>
        <v>0</v>
      </c>
      <c r="AX4" s="15" t="b">
        <f>IFERROR(IF(AND(VLOOKUP(AX6,$NX$49:$NY$55,2,0)="Yes",NOT(ISNUMBER(VLOOKUP(DATE($A$2,$A$3+$A$1-1,AX5),HolidayList[Date],1,0)))),TRUE,FALSE),FALSE)</f>
        <v>0</v>
      </c>
      <c r="AY4" s="15" t="b">
        <f>IFERROR(IF(AND(VLOOKUP(AY6,$NX$49:$NY$55,2,0)="Yes",NOT(ISNUMBER(VLOOKUP(DATE($A$2,$A$3+$A$1-1,AY5),HolidayList[Date],1,0)))),TRUE,FALSE),FALSE)</f>
        <v>0</v>
      </c>
      <c r="AZ4" s="15" t="b">
        <f>IFERROR(IF(AND(VLOOKUP(AZ6,$NX$49:$NY$55,2,0)="Yes",NOT(ISNUMBER(VLOOKUP(DATE($A$2,$A$3+$A$1-1,AZ5),HolidayList[Date],1,0)))),TRUE,FALSE),FALSE)</f>
        <v>0</v>
      </c>
      <c r="BA4" s="15" t="b">
        <f>IFERROR(IF(AND(VLOOKUP(BA6,$NX$49:$NY$55,2,0)="Yes",NOT(ISNUMBER(VLOOKUP(DATE($A$2,$A$3+$A$1-1,BA5),HolidayList[Date],1,0)))),TRUE,FALSE),FALSE)</f>
        <v>0</v>
      </c>
      <c r="BB4" s="15" t="b">
        <f>IFERROR(IF(AND(VLOOKUP(BB6,$NX$49:$NY$55,2,0)="Yes",NOT(ISNUMBER(VLOOKUP(DATE($A$2,$A$3+$A$1-1,BB5),HolidayList[Date],1,0)))),TRUE,FALSE),FALSE)</f>
        <v>0</v>
      </c>
      <c r="BC4" s="15" t="b">
        <f>IFERROR(IF(AND(VLOOKUP(BC6,$NX$49:$NY$55,2,0)="Yes",NOT(ISNUMBER(VLOOKUP(DATE($A$2,$A$3+$A$1-1,BC5),HolidayList[Date],1,0)))),TRUE,FALSE),FALSE)</f>
        <v>0</v>
      </c>
      <c r="BD4" s="15" t="b">
        <f>IFERROR(IF(AND(VLOOKUP(BD6,$NX$49:$NY$55,2,0)="Yes",NOT(ISNUMBER(VLOOKUP(DATE($A$2,$A$3+$A$1-1,BD5),HolidayList[Date],1,0)))),TRUE,FALSE),FALSE)</f>
        <v>0</v>
      </c>
      <c r="BE4" s="15" t="b">
        <f>IFERROR(IF(AND(VLOOKUP(BE6,$NX$49:$NY$55,2,0)="Yes",NOT(ISNUMBER(VLOOKUP(DATE($A$2,$A$3+$A$1-1,BE5),HolidayList[Date],1,0)))),TRUE,FALSE),FALSE)</f>
        <v>0</v>
      </c>
      <c r="BF4" s="15" t="b">
        <f>IFERROR(IF(AND(VLOOKUP(BF6,$NX$49:$NY$55,2,0)="Yes",NOT(ISNUMBER(VLOOKUP(DATE($A$2,$A$3+$A$1-1,BF5),HolidayList[Date],1,0)))),TRUE,FALSE),FALSE)</f>
        <v>0</v>
      </c>
      <c r="BG4" s="15" t="b">
        <f>IFERROR(IF(AND(VLOOKUP(BG6,$NX$49:$NY$55,2,0)="Yes",NOT(ISNUMBER(VLOOKUP(DATE($A$2,$A$3+$A$1-1,BG5),HolidayList[Date],1,0)))),TRUE,FALSE),FALSE)</f>
        <v>0</v>
      </c>
      <c r="BH4" s="15" t="b">
        <f>IFERROR(IF(AND(VLOOKUP(BH6,$NX$49:$NY$55,2,0)="Yes",NOT(ISNUMBER(VLOOKUP(DATE($A$2,$A$3+$A$1-1,BH5),HolidayList[Date],1,0)))),TRUE,FALSE),FALSE)</f>
        <v>0</v>
      </c>
      <c r="BI4" s="15" t="b">
        <f>IFERROR(IF(AND(VLOOKUP(BI6,$NX$49:$NY$55,2,0)="Yes",NOT(ISNUMBER(VLOOKUP(DATE($A$2,$A$3+$A$1-1,BI5),HolidayList[Date],1,0)))),TRUE,FALSE),FALSE)</f>
        <v>0</v>
      </c>
      <c r="BJ4" s="15" t="b">
        <f>IFERROR(IF(AND(VLOOKUP(BJ6,$NX$49:$NY$55,2,0)="Yes",NOT(ISNUMBER(VLOOKUP(DATE($A$2,$A$3+$A$1-1,BJ5),HolidayList[Date],1,0)))),TRUE,FALSE),FALSE)</f>
        <v>0</v>
      </c>
      <c r="BK4" s="15" t="b">
        <f>IFERROR(IF(AND(VLOOKUP(BK6,$NX$49:$NY$55,2,0)="Yes",NOT(ISNUMBER(VLOOKUP(DATE($A$2,$A$3+$A$1-1,BK5),HolidayList[Date],1,0)))),TRUE,FALSE),FALSE)</f>
        <v>0</v>
      </c>
      <c r="BL4" s="15" t="b">
        <f>IFERROR(IF(AND(VLOOKUP(BL6,$NX$49:$NY$55,2,0)="Yes",NOT(ISNUMBER(VLOOKUP(DATE($A$2,$A$3+$A$1-1,BL5),HolidayList[Date],1,0)))),TRUE,FALSE),FALSE)</f>
        <v>0</v>
      </c>
      <c r="BM4" s="15" t="b">
        <f>IFERROR(IF(AND(VLOOKUP(BM6,$NX$49:$NY$55,2,0)="Yes",NOT(ISNUMBER(VLOOKUP(DATE($A$2,$A$3+$A$1-1,BM5),HolidayList[Date],1,0)))),TRUE,FALSE),FALSE)</f>
        <v>0</v>
      </c>
      <c r="BN4" s="15" t="b">
        <f>IFERROR(IF(AND(VLOOKUP(BN6,$NX$49:$NY$55,2,0)="Yes",NOT(ISNUMBER(VLOOKUP(DATE($A$2,$A$3+$A$1-1,BN5),HolidayList[Date],1,0)))),TRUE,FALSE),FALSE)</f>
        <v>0</v>
      </c>
      <c r="BO4" s="15" t="b">
        <f>IFERROR(IF(AND(VLOOKUP(BO6,$NX$49:$NY$55,2,0)="Yes",NOT(ISNUMBER(VLOOKUP(DATE($A$2,$A$3+$A$1-1,BO5),HolidayList[Date],1,0)))),TRUE,FALSE),FALSE)</f>
        <v>0</v>
      </c>
      <c r="BP4" s="15" t="b">
        <f>IFERROR(IF(AND(VLOOKUP(BP6,$NX$49:$NY$55,2,0)="Yes",NOT(ISNUMBER(VLOOKUP(DATE($A$2,$A$3+$A$1-1,BP5),HolidayList[Date],1,0)))),TRUE,FALSE),FALSE)</f>
        <v>0</v>
      </c>
      <c r="BQ4" s="15" t="b">
        <f>IFERROR(IF(AND(VLOOKUP(BQ6,$NX$49:$NY$55,2,0)="Yes",NOT(ISNUMBER(VLOOKUP(DATE($A$2,$A$3+$A$1-1,BQ5),HolidayList[Date],1,0)))),TRUE,FALSE),FALSE)</f>
        <v>0</v>
      </c>
      <c r="BR4" s="15" t="b">
        <f>IFERROR(IF(AND(VLOOKUP(BR6,$NX$49:$NY$55,2,0)="Yes",NOT(ISNUMBER(VLOOKUP(DATE($A$2,$A$3+$A$1-1,BR5),HolidayList[Date],1,0)))),TRUE,FALSE),FALSE)</f>
        <v>0</v>
      </c>
      <c r="BS4" s="15" t="b">
        <f>IFERROR(IF(AND(VLOOKUP(BS6,$NX$49:$NY$55,2,0)="Yes",NOT(ISNUMBER(VLOOKUP(DATE($A$2,$A$3+$A$1-1,BS5),HolidayList[Date],1,0)))),TRUE,FALSE),FALSE)</f>
        <v>0</v>
      </c>
      <c r="BT4" s="15" t="b">
        <f>IFERROR(IF(AND(VLOOKUP(BT6,$NX$49:$NY$55,2,0)="Yes",NOT(ISNUMBER(VLOOKUP(DATE($A$2,$A$3+$A$1-1,BT5),HolidayList[Date],1,0)))),TRUE,FALSE),FALSE)</f>
        <v>0</v>
      </c>
      <c r="BU4" s="15" t="b">
        <f>IFERROR(IF(AND(VLOOKUP(BU6,$NX$49:$NY$55,2,0)="Yes",NOT(ISNUMBER(VLOOKUP(DATE($A$2,$A$3+$A$1-1,BU5),HolidayList[Date],1,0)))),TRUE,FALSE),FALSE)</f>
        <v>0</v>
      </c>
      <c r="BV4" s="15" t="b">
        <f>IFERROR(IF(AND(VLOOKUP(BV6,$NX$49:$NY$55,2,0)="Yes",NOT(ISNUMBER(VLOOKUP(DATE($A$2,$A$3+$A$1-1,BV5),HolidayList[Date],1,0)))),TRUE,FALSE),FALSE)</f>
        <v>0</v>
      </c>
      <c r="BW4" s="15" t="b">
        <f>IFERROR(IF(AND(VLOOKUP(BW6,$NX$49:$NY$55,2,0)="Yes",NOT(ISNUMBER(VLOOKUP(DATE($A$2,$A$3+$A$1-1,BW5),HolidayList[Date],1,0)))),TRUE,FALSE),FALSE)</f>
        <v>0</v>
      </c>
      <c r="BX4" s="15" t="b">
        <f>IFERROR(IF(AND(VLOOKUP(BX6,$NX$49:$NY$55,2,0)="Yes",NOT(ISNUMBER(VLOOKUP(DATE($A$2,$A$3+$A$1-1,BX5),HolidayList[Date],1,0)))),TRUE,FALSE),FALSE)</f>
        <v>0</v>
      </c>
      <c r="BY4" s="15" t="b">
        <f>IFERROR(IF(AND(VLOOKUP(BY6,$NX$49:$NY$55,2,0)="Yes",NOT(ISNUMBER(VLOOKUP(DATE($A$2,$A$3+$A$1-1,BY5),HolidayList[Date],1,0)))),TRUE,FALSE),FALSE)</f>
        <v>0</v>
      </c>
      <c r="BZ4" s="15" t="b">
        <f>IFERROR(IF(AND(VLOOKUP(BZ6,$NX$49:$NY$55,2,0)="Yes",NOT(ISNUMBER(VLOOKUP(DATE($A$2,$A$3+$A$1-1,BZ5),HolidayList[Date],1,0)))),TRUE,FALSE),FALSE)</f>
        <v>0</v>
      </c>
      <c r="CA4" s="15" t="b">
        <f>IFERROR(IF(AND(VLOOKUP(CA6,$NX$49:$NY$55,2,0)="Yes",NOT(ISNUMBER(VLOOKUP(DATE($A$2,$A$3+$A$1-1,CA5),HolidayList[Date],1,0)))),TRUE,FALSE),FALSE)</f>
        <v>0</v>
      </c>
      <c r="CB4" s="15" t="b">
        <f>IFERROR(IF(AND(VLOOKUP(CB6,$NX$49:$NY$55,2,0)="Yes",NOT(ISNUMBER(VLOOKUP(DATE($A$2,$A$3+$A$1-1,CB5),HolidayList[Date],1,0)))),TRUE,FALSE),FALSE)</f>
        <v>0</v>
      </c>
      <c r="CC4" s="15" t="b">
        <f>IFERROR(IF(AND(VLOOKUP(CC6,$NX$49:$NY$55,2,0)="Yes",NOT(ISNUMBER(VLOOKUP(DATE($A$2,$A$3+$A$1-1,CC5),HolidayList[Date],1,0)))),TRUE,FALSE),FALSE)</f>
        <v>0</v>
      </c>
      <c r="CD4" s="15" t="b">
        <f>IFERROR(IF(AND(VLOOKUP(CD6,$NX$49:$NY$55,2,0)="Yes",NOT(ISNUMBER(VLOOKUP(DATE($A$2,$A$3+$A$1-1,CD5),HolidayList[Date],1,0)))),TRUE,FALSE),FALSE)</f>
        <v>0</v>
      </c>
      <c r="CE4" s="15" t="b">
        <f>IFERROR(IF(AND(VLOOKUP(CE6,$NX$49:$NY$55,2,0)="Yes",NOT(ISNUMBER(VLOOKUP(DATE($A$2,$A$3+$A$1-1,CE5),HolidayList[Date],1,0)))),TRUE,FALSE),FALSE)</f>
        <v>0</v>
      </c>
      <c r="CF4" s="15" t="b">
        <f>IFERROR(IF(AND(VLOOKUP(CF6,$NX$49:$NY$55,2,0)="Yes",NOT(ISNUMBER(VLOOKUP(DATE($A$2,$A$3+$A$1-1,CF5),HolidayList[Date],1,0)))),TRUE,FALSE),FALSE)</f>
        <v>0</v>
      </c>
      <c r="CG4" s="15" t="b">
        <f>IFERROR(IF(AND(VLOOKUP(CG6,$NX$49:$NY$55,2,0)="Yes",NOT(ISNUMBER(VLOOKUP(DATE($A$2,$A$3+$A$1-1,CG5),HolidayList[Date],1,0)))),TRUE,FALSE),FALSE)</f>
        <v>0</v>
      </c>
      <c r="CH4" s="15" t="b">
        <f>IFERROR(IF(AND(VLOOKUP(CH6,$NX$49:$NY$55,2,0)="Yes",NOT(ISNUMBER(VLOOKUP(DATE($A$2,$A$3+$A$1-1,CH5),HolidayList[Date],1,0)))),TRUE,FALSE),FALSE)</f>
        <v>0</v>
      </c>
      <c r="CI4" s="15" t="b">
        <f>IFERROR(IF(AND(VLOOKUP(CI6,$NX$49:$NY$55,2,0)="Yes",NOT(ISNUMBER(VLOOKUP(DATE($A$2,$A$3+$A$1-1,CI5),HolidayList[Date],1,0)))),TRUE,FALSE),FALSE)</f>
        <v>0</v>
      </c>
      <c r="CJ4" s="15" t="b">
        <f>IFERROR(IF(AND(VLOOKUP(CJ6,$NX$49:$NY$55,2,0)="Yes",NOT(ISNUMBER(VLOOKUP(DATE($A$2,$A$3+$A$1-1,CJ5),HolidayList[Date],1,0)))),TRUE,FALSE),FALSE)</f>
        <v>0</v>
      </c>
      <c r="CK4" s="15" t="b">
        <f>IFERROR(IF(AND(VLOOKUP(CK6,$NX$49:$NY$55,2,0)="Yes",NOT(ISNUMBER(VLOOKUP(DATE($A$2,$A$3+$A$1-1,CK5),HolidayList[Date],1,0)))),TRUE,FALSE),FALSE)</f>
        <v>0</v>
      </c>
      <c r="CL4" s="15" t="b">
        <f>IFERROR(IF(AND(VLOOKUP(CL6,$NX$49:$NY$55,2,0)="Yes",NOT(ISNUMBER(VLOOKUP(DATE($A$2,$A$3+$A$1-1,CL5),HolidayList[Date],1,0)))),TRUE,FALSE),FALSE)</f>
        <v>0</v>
      </c>
      <c r="CM4" s="15" t="b">
        <f>IFERROR(IF(AND(VLOOKUP(CM6,$NX$49:$NY$55,2,0)="Yes",NOT(ISNUMBER(VLOOKUP(DATE($A$2,$A$3+$A$1-1,CM5),HolidayList[Date],1,0)))),TRUE,FALSE),FALSE)</f>
        <v>0</v>
      </c>
      <c r="CN4" s="15" t="b">
        <f>IFERROR(IF(AND(VLOOKUP(CN6,$NX$49:$NY$55,2,0)="Yes",NOT(ISNUMBER(VLOOKUP(DATE($A$2,$A$3+$A$1-1,CN5),HolidayList[Date],1,0)))),TRUE,FALSE),FALSE)</f>
        <v>0</v>
      </c>
      <c r="CO4" s="15" t="b">
        <f>IFERROR(IF(AND(VLOOKUP(CO6,$NX$49:$NY$55,2,0)="Yes",NOT(ISNUMBER(VLOOKUP(DATE($A$2,$A$3+$A$1-1,CO5),HolidayList[Date],1,0)))),TRUE,FALSE),FALSE)</f>
        <v>0</v>
      </c>
      <c r="CP4" s="15" t="b">
        <f>IFERROR(IF(AND(VLOOKUP(CP6,$NX$49:$NY$55,2,0)="Yes",NOT(ISNUMBER(VLOOKUP(DATE($A$2,$A$3+$A$1-1,CP5),HolidayList[Date],1,0)))),TRUE,FALSE),FALSE)</f>
        <v>0</v>
      </c>
      <c r="CQ4" s="15" t="b">
        <f>IFERROR(IF(AND(VLOOKUP(CQ6,$NX$49:$NY$55,2,0)="Yes",NOT(ISNUMBER(VLOOKUP(DATE($A$2,$A$3+$A$1-1,CQ5),HolidayList[Date],1,0)))),TRUE,FALSE),FALSE)</f>
        <v>0</v>
      </c>
      <c r="CR4" s="15" t="b">
        <f>IFERROR(IF(AND(VLOOKUP(CR6,$NX$49:$NY$55,2,0)="Yes",NOT(ISNUMBER(VLOOKUP(DATE($A$2,$A$3+$A$1-1,CR5),HolidayList[Date],1,0)))),TRUE,FALSE),FALSE)</f>
        <v>0</v>
      </c>
      <c r="CS4" s="15" t="b">
        <f>IFERROR(IF(AND(VLOOKUP(CS6,$NX$49:$NY$55,2,0)="Yes",NOT(ISNUMBER(VLOOKUP(DATE($A$2,$A$3+$A$1-1,CS5),HolidayList[Date],1,0)))),TRUE,FALSE),FALSE)</f>
        <v>0</v>
      </c>
      <c r="CT4" s="15" t="b">
        <f>IFERROR(IF(AND(VLOOKUP(CT6,$NX$49:$NY$55,2,0)="Yes",NOT(ISNUMBER(VLOOKUP(DATE($A$2,$A$3+$A$1-1,CT5),HolidayList[Date],1,0)))),TRUE,FALSE),FALSE)</f>
        <v>0</v>
      </c>
      <c r="CU4" s="15" t="b">
        <f>IFERROR(IF(AND(VLOOKUP(CU6,$NX$49:$NY$55,2,0)="Yes",NOT(ISNUMBER(VLOOKUP(DATE($A$2,$A$3+$A$1-1,CU5),HolidayList[Date],1,0)))),TRUE,FALSE),FALSE)</f>
        <v>0</v>
      </c>
      <c r="CV4" s="15" t="b">
        <f>IFERROR(IF(AND(VLOOKUP(CV6,$NX$49:$NY$55,2,0)="Yes",NOT(ISNUMBER(VLOOKUP(DATE($A$2,$A$3+$A$1-1,CV5),HolidayList[Date],1,0)))),TRUE,FALSE),FALSE)</f>
        <v>0</v>
      </c>
      <c r="CW4" s="15" t="b">
        <f>IFERROR(IF(AND(VLOOKUP(CW6,$NX$49:$NY$55,2,0)="Yes",NOT(ISNUMBER(VLOOKUP(DATE($A$2,$A$3+$A$1-1,CW5),HolidayList[Date],1,0)))),TRUE,FALSE),FALSE)</f>
        <v>0</v>
      </c>
      <c r="CX4" s="15" t="b">
        <f>IFERROR(IF(AND(VLOOKUP(CX6,$NX$49:$NY$55,2,0)="Yes",NOT(ISNUMBER(VLOOKUP(DATE($A$2,$A$3+$A$1-1,CX5),HolidayList[Date],1,0)))),TRUE,FALSE),FALSE)</f>
        <v>0</v>
      </c>
      <c r="CY4" s="15" t="b">
        <f>IFERROR(IF(AND(VLOOKUP(CY6,$NX$49:$NY$55,2,0)="Yes",NOT(ISNUMBER(VLOOKUP(DATE($A$2,$A$3+$A$1-1,CY5),HolidayList[Date],1,0)))),TRUE,FALSE),FALSE)</f>
        <v>0</v>
      </c>
      <c r="CZ4" s="15" t="b">
        <f>IFERROR(IF(AND(VLOOKUP(CZ6,$NX$49:$NY$55,2,0)="Yes",NOT(ISNUMBER(VLOOKUP(DATE($A$2,$A$3+$A$1-1,CZ5),HolidayList[Date],1,0)))),TRUE,FALSE),FALSE)</f>
        <v>0</v>
      </c>
      <c r="DA4" s="15" t="b">
        <f>IFERROR(IF(AND(VLOOKUP(DA6,$NX$49:$NY$55,2,0)="Yes",NOT(ISNUMBER(VLOOKUP(DATE($A$2,$A$3+$A$1-1,DA5),HolidayList[Date],1,0)))),TRUE,FALSE),FALSE)</f>
        <v>0</v>
      </c>
      <c r="DB4" s="15" t="b">
        <f>IFERROR(IF(AND(VLOOKUP(DB6,$NX$49:$NY$55,2,0)="Yes",NOT(ISNUMBER(VLOOKUP(DATE($A$2,$A$3+$A$1-1,DB5),HolidayList[Date],1,0)))),TRUE,FALSE),FALSE)</f>
        <v>0</v>
      </c>
      <c r="DC4" s="15" t="b">
        <f>IFERROR(IF(AND(VLOOKUP(DC6,$NX$49:$NY$55,2,0)="Yes",NOT(ISNUMBER(VLOOKUP(DATE($A$2,$A$3+$A$1-1,DC5),HolidayList[Date],1,0)))),TRUE,FALSE),FALSE)</f>
        <v>0</v>
      </c>
      <c r="DD4" s="15" t="b">
        <f>IFERROR(IF(AND(VLOOKUP(DD6,$NX$49:$NY$55,2,0)="Yes",NOT(ISNUMBER(VLOOKUP(DATE($A$2,$A$3+$A$1-1,DD5),HolidayList[Date],1,0)))),TRUE,FALSE),FALSE)</f>
        <v>0</v>
      </c>
      <c r="DE4" s="15" t="b">
        <f>IFERROR(IF(AND(VLOOKUP(DE6,$NX$49:$NY$55,2,0)="Yes",NOT(ISNUMBER(VLOOKUP(DATE($A$2,$A$3+$A$1-1,DE5),HolidayList[Date],1,0)))),TRUE,FALSE),FALSE)</f>
        <v>0</v>
      </c>
      <c r="DF4" s="15" t="b">
        <f>IFERROR(IF(AND(VLOOKUP(DF6,$NX$49:$NY$55,2,0)="Yes",NOT(ISNUMBER(VLOOKUP(DATE($A$2,$A$3+$A$1-1,DF5),HolidayList[Date],1,0)))),TRUE,FALSE),FALSE)</f>
        <v>0</v>
      </c>
      <c r="DG4" s="15" t="b">
        <f>IFERROR(IF(AND(VLOOKUP(DG6,$NX$49:$NY$55,2,0)="Yes",NOT(ISNUMBER(VLOOKUP(DATE($A$2,$A$3+$A$1-1,DG5),HolidayList[Date],1,0)))),TRUE,FALSE),FALSE)</f>
        <v>0</v>
      </c>
      <c r="DH4" s="15" t="b">
        <f>IFERROR(IF(AND(VLOOKUP(DH6,$NX$49:$NY$55,2,0)="Yes",NOT(ISNUMBER(VLOOKUP(DATE($A$2,$A$3+$A$1-1,DH5),HolidayList[Date],1,0)))),TRUE,FALSE),FALSE)</f>
        <v>0</v>
      </c>
      <c r="DI4" s="15" t="b">
        <f>IFERROR(IF(AND(VLOOKUP(DI6,$NX$49:$NY$55,2,0)="Yes",NOT(ISNUMBER(VLOOKUP(DATE($A$2,$A$3+$A$1-1,DI5),HolidayList[Date],1,0)))),TRUE,FALSE),FALSE)</f>
        <v>0</v>
      </c>
      <c r="DJ4" s="15" t="b">
        <f>IFERROR(IF(AND(VLOOKUP(DJ6,$NX$49:$NY$55,2,0)="Yes",NOT(ISNUMBER(VLOOKUP(DATE($A$2,$A$3+$A$1-1,DJ5),HolidayList[Date],1,0)))),TRUE,FALSE),FALSE)</f>
        <v>0</v>
      </c>
      <c r="DK4" s="15" t="b">
        <f>IFERROR(IF(AND(VLOOKUP(DK6,$NX$49:$NY$55,2,0)="Yes",NOT(ISNUMBER(VLOOKUP(DATE($A$2,$A$3+$A$1-1,DK5),HolidayList[Date],1,0)))),TRUE,FALSE),FALSE)</f>
        <v>0</v>
      </c>
      <c r="DL4" s="15" t="b">
        <f>IFERROR(IF(AND(VLOOKUP(DL6,$NX$49:$NY$55,2,0)="Yes",NOT(ISNUMBER(VLOOKUP(DATE($A$2,$A$3+$A$1-1,DL5),HolidayList[Date],1,0)))),TRUE,FALSE),FALSE)</f>
        <v>0</v>
      </c>
      <c r="DM4" s="15" t="b">
        <f>IFERROR(IF(AND(VLOOKUP(DM6,$NX$49:$NY$55,2,0)="Yes",NOT(ISNUMBER(VLOOKUP(DATE($A$2,$A$3+$A$1-1,DM5),HolidayList[Date],1,0)))),TRUE,FALSE),FALSE)</f>
        <v>0</v>
      </c>
      <c r="DN4" s="15" t="b">
        <f>IFERROR(IF(AND(VLOOKUP(DN6,$NX$49:$NY$55,2,0)="Yes",NOT(ISNUMBER(VLOOKUP(DATE($A$2,$A$3+$A$1-1,DN5),HolidayList[Date],1,0)))),TRUE,FALSE),FALSE)</f>
        <v>0</v>
      </c>
      <c r="DO4" s="15" t="b">
        <f>IFERROR(IF(AND(VLOOKUP(DO6,$NX$49:$NY$55,2,0)="Yes",NOT(ISNUMBER(VLOOKUP(DATE($A$2,$A$3+$A$1-1,DO5),HolidayList[Date],1,0)))),TRUE,FALSE),FALSE)</f>
        <v>0</v>
      </c>
      <c r="DP4" s="15" t="b">
        <f>IFERROR(IF(AND(VLOOKUP(DP6,$NX$49:$NY$55,2,0)="Yes",NOT(ISNUMBER(VLOOKUP(DATE($A$2,$A$3+$A$1-1,DP5),HolidayList[Date],1,0)))),TRUE,FALSE),FALSE)</f>
        <v>0</v>
      </c>
      <c r="DQ4" s="15" t="b">
        <f>IFERROR(IF(AND(VLOOKUP(DQ6,$NX$49:$NY$55,2,0)="Yes",NOT(ISNUMBER(VLOOKUP(DATE($A$2,$A$3+$A$1-1,DQ5),HolidayList[Date],1,0)))),TRUE,FALSE),FALSE)</f>
        <v>0</v>
      </c>
      <c r="DR4" s="15" t="b">
        <f>IFERROR(IF(AND(VLOOKUP(DR6,$NX$49:$NY$55,2,0)="Yes",NOT(ISNUMBER(VLOOKUP(DATE($A$2,$A$3+$A$1-1,DR5),HolidayList[Date],1,0)))),TRUE,FALSE),FALSE)</f>
        <v>0</v>
      </c>
      <c r="DS4" s="15" t="b">
        <f>IFERROR(IF(AND(VLOOKUP(DS6,$NX$49:$NY$55,2,0)="Yes",NOT(ISNUMBER(VLOOKUP(DATE($A$2,$A$3+$A$1-1,DS5),HolidayList[Date],1,0)))),TRUE,FALSE),FALSE)</f>
        <v>0</v>
      </c>
      <c r="DT4" s="15" t="b">
        <f>IFERROR(IF(AND(VLOOKUP(DT6,$NX$49:$NY$55,2,0)="Yes",NOT(ISNUMBER(VLOOKUP(DATE($A$2,$A$3+$A$1-1,DT5),HolidayList[Date],1,0)))),TRUE,FALSE),FALSE)</f>
        <v>0</v>
      </c>
      <c r="DU4" s="15" t="b">
        <f>IFERROR(IF(AND(VLOOKUP(DU6,$NX$49:$NY$55,2,0)="Yes",NOT(ISNUMBER(VLOOKUP(DATE($A$2,$A$3+$A$1-1,DU5),HolidayList[Date],1,0)))),TRUE,FALSE),FALSE)</f>
        <v>0</v>
      </c>
      <c r="DV4" s="15" t="b">
        <f>IFERROR(IF(AND(VLOOKUP(DV6,$NX$49:$NY$55,2,0)="Yes",NOT(ISNUMBER(VLOOKUP(DATE($A$2,$A$3+$A$1-1,DV5),HolidayList[Date],1,0)))),TRUE,FALSE),FALSE)</f>
        <v>0</v>
      </c>
      <c r="DW4" s="15" t="b">
        <f>IFERROR(IF(AND(VLOOKUP(DW6,$NX$49:$NY$55,2,0)="Yes",NOT(ISNUMBER(VLOOKUP(DATE($A$2,$A$3+$A$1-1,DW5),HolidayList[Date],1,0)))),TRUE,FALSE),FALSE)</f>
        <v>0</v>
      </c>
      <c r="DX4" s="15" t="b">
        <f>IFERROR(IF(AND(VLOOKUP(DX6,$NX$49:$NY$55,2,0)="Yes",NOT(ISNUMBER(VLOOKUP(DATE($A$2,$A$3+$A$1-1,DX5),HolidayList[Date],1,0)))),TRUE,FALSE),FALSE)</f>
        <v>0</v>
      </c>
      <c r="DY4" s="15" t="b">
        <f>IFERROR(IF(AND(VLOOKUP(DY6,$NX$49:$NY$55,2,0)="Yes",NOT(ISNUMBER(VLOOKUP(DATE($A$2,$A$3+$A$1-1,DY5),HolidayList[Date],1,0)))),TRUE,FALSE),FALSE)</f>
        <v>1</v>
      </c>
      <c r="DZ4" s="15" t="b">
        <f>IFERROR(IF(AND(VLOOKUP(DZ6,$NX$49:$NY$55,2,0)="Yes",NOT(ISNUMBER(VLOOKUP(DATE($A$2,$A$3+$A$1-1,DZ5),HolidayList[Date],1,0)))),TRUE,FALSE),FALSE)</f>
        <v>1</v>
      </c>
      <c r="EA4" s="15" t="b">
        <f>IFERROR(IF(AND(VLOOKUP(EA6,$NX$49:$NY$55,2,0)="Yes",NOT(ISNUMBER(VLOOKUP(DATE($A$2,$A$3+$A$1-1,EA5),HolidayList[Date],1,0)))),TRUE,FALSE),FALSE)</f>
        <v>1</v>
      </c>
      <c r="EB4" s="15" t="b">
        <f>IFERROR(IF(AND(VLOOKUP(EB6,$NX$49:$NY$55,2,0)="Yes",NOT(ISNUMBER(VLOOKUP(DATE($A$2,$A$3+$A$1-1,EB5),HolidayList[Date],1,0)))),TRUE,FALSE),FALSE)</f>
        <v>1</v>
      </c>
      <c r="EC4" s="15" t="b">
        <f>IFERROR(IF(AND(VLOOKUP(EC6,$NX$49:$NY$55,2,0)="Yes",NOT(ISNUMBER(VLOOKUP(DATE($A$2,$A$3+$A$1-1,EC5),HolidayList[Date],1,0)))),TRUE,FALSE),FALSE)</f>
        <v>1</v>
      </c>
      <c r="ED4" s="15" t="b">
        <f>IFERROR(IF(AND(VLOOKUP(ED6,$NX$49:$NY$55,2,0)="Yes",NOT(ISNUMBER(VLOOKUP(DATE($A$2,$A$3+$A$1-1,ED5),HolidayList[Date],1,0)))),TRUE,FALSE),FALSE)</f>
        <v>0</v>
      </c>
      <c r="EE4" s="15" t="b">
        <f>IFERROR(IF(AND(VLOOKUP(EE6,$NX$49:$NY$55,2,0)="Yes",NOT(ISNUMBER(VLOOKUP(DATE($A$2,$A$3+$A$1-1,EE5),HolidayList[Date],1,0)))),TRUE,FALSE),FALSE)</f>
        <v>0</v>
      </c>
      <c r="EF4" s="15" t="b">
        <f>IFERROR(IF(AND(VLOOKUP(EF6,$NX$49:$NY$55,2,0)="Yes",NOT(ISNUMBER(VLOOKUP(DATE($A$2,$A$3+$A$1-1,EF5),HolidayList[Date],1,0)))),TRUE,FALSE),FALSE)</f>
        <v>1</v>
      </c>
      <c r="EG4" s="15" t="b">
        <f>IFERROR(IF(AND(VLOOKUP(EG6,$NX$49:$NY$55,2,0)="Yes",NOT(ISNUMBER(VLOOKUP(DATE($A$2,$A$3+$A$1-1,EG5),HolidayList[Date],1,0)))),TRUE,FALSE),FALSE)</f>
        <v>1</v>
      </c>
      <c r="EH4" s="15" t="b">
        <f>IFERROR(IF(AND(VLOOKUP(EH6,$NX$49:$NY$55,2,0)="Yes",NOT(ISNUMBER(VLOOKUP(DATE($A$2,$A$3+$A$1-1,EH5),HolidayList[Date],1,0)))),TRUE,FALSE),FALSE)</f>
        <v>1</v>
      </c>
      <c r="EI4" s="15" t="b">
        <f>IFERROR(IF(AND(VLOOKUP(EI6,$NX$49:$NY$55,2,0)="Yes",NOT(ISNUMBER(VLOOKUP(DATE($A$2,$A$3+$A$1-1,EI5),HolidayList[Date],1,0)))),TRUE,FALSE),FALSE)</f>
        <v>1</v>
      </c>
      <c r="EJ4" s="15" t="b">
        <f>IFERROR(IF(AND(VLOOKUP(EJ6,$NX$49:$NY$55,2,0)="Yes",NOT(ISNUMBER(VLOOKUP(DATE($A$2,$A$3+$A$1-1,EJ5),HolidayList[Date],1,0)))),TRUE,FALSE),FALSE)</f>
        <v>1</v>
      </c>
      <c r="EK4" s="15" t="b">
        <f>IFERROR(IF(AND(VLOOKUP(EK6,$NX$49:$NY$55,2,0)="Yes",NOT(ISNUMBER(VLOOKUP(DATE($A$2,$A$3+$A$1-1,EK5),HolidayList[Date],1,0)))),TRUE,FALSE),FALSE)</f>
        <v>0</v>
      </c>
      <c r="EL4" s="15" t="b">
        <f>IFERROR(IF(AND(VLOOKUP(EL6,$NX$49:$NY$55,2,0)="Yes",NOT(ISNUMBER(VLOOKUP(DATE($A$2,$A$3+$A$1-1,EL5),HolidayList[Date],1,0)))),TRUE,FALSE),FALSE)</f>
        <v>0</v>
      </c>
      <c r="EM4" s="15" t="b">
        <f>IFERROR(IF(AND(VLOOKUP(EM6,$NX$49:$NY$55,2,0)="Yes",NOT(ISNUMBER(VLOOKUP(DATE($A$2,$A$3+$A$1-1,EM5),HolidayList[Date],1,0)))),TRUE,FALSE),FALSE)</f>
        <v>1</v>
      </c>
      <c r="EN4" s="15" t="b">
        <f>IFERROR(IF(AND(VLOOKUP(EN6,$NX$49:$NY$55,2,0)="Yes",NOT(ISNUMBER(VLOOKUP(DATE($A$2,$A$3+$A$1-1,EN5),HolidayList[Date],1,0)))),TRUE,FALSE),FALSE)</f>
        <v>1</v>
      </c>
      <c r="EO4" s="15" t="b">
        <f>IFERROR(IF(AND(VLOOKUP(EO6,$NX$49:$NY$55,2,0)="Yes",NOT(ISNUMBER(VLOOKUP(DATE($A$2,$A$3+$A$1-1,EO5),HolidayList[Date],1,0)))),TRUE,FALSE),FALSE)</f>
        <v>1</v>
      </c>
      <c r="EP4" s="15" t="b">
        <f>IFERROR(IF(AND(VLOOKUP(EP6,$NX$49:$NY$55,2,0)="Yes",NOT(ISNUMBER(VLOOKUP(DATE($A$2,$A$3+$A$1-1,EP5),HolidayList[Date],1,0)))),TRUE,FALSE),FALSE)</f>
        <v>1</v>
      </c>
      <c r="EQ4" s="15" t="b">
        <f>IFERROR(IF(AND(VLOOKUP(EQ6,$NX$49:$NY$55,2,0)="Yes",NOT(ISNUMBER(VLOOKUP(DATE($A$2,$A$3+$A$1-1,EQ5),HolidayList[Date],1,0)))),TRUE,FALSE),FALSE)</f>
        <v>1</v>
      </c>
      <c r="ER4" s="15" t="b">
        <f>IFERROR(IF(AND(VLOOKUP(ER6,$NX$49:$NY$55,2,0)="Yes",NOT(ISNUMBER(VLOOKUP(DATE($A$2,$A$3+$A$1-1,ER5),HolidayList[Date],1,0)))),TRUE,FALSE),FALSE)</f>
        <v>0</v>
      </c>
      <c r="ES4" s="15" t="b">
        <f>IFERROR(IF(AND(VLOOKUP(ES6,$NX$49:$NY$55,2,0)="Yes",NOT(ISNUMBER(VLOOKUP(DATE($A$2,$A$3+$A$1-1,ES5),HolidayList[Date],1,0)))),TRUE,FALSE),FALSE)</f>
        <v>0</v>
      </c>
      <c r="ET4" s="15" t="b">
        <f>IFERROR(IF(AND(VLOOKUP(ET6,$NX$49:$NY$55,2,0)="Yes",NOT(ISNUMBER(VLOOKUP(DATE($A$2,$A$3+$A$1-1,ET5),HolidayList[Date],1,0)))),TRUE,FALSE),FALSE)</f>
        <v>1</v>
      </c>
      <c r="EU4" s="15" t="b">
        <f>IFERROR(IF(AND(VLOOKUP(EU6,$NX$49:$NY$55,2,0)="Yes",NOT(ISNUMBER(VLOOKUP(DATE($A$2,$A$3+$A$1-1,EU5),HolidayList[Date],1,0)))),TRUE,FALSE),FALSE)</f>
        <v>1</v>
      </c>
      <c r="EV4" s="15" t="b">
        <f>IFERROR(IF(AND(VLOOKUP(EV6,$NX$49:$NY$55,2,0)="Yes",NOT(ISNUMBER(VLOOKUP(DATE($A$2,$A$3+$A$1-1,EV5),HolidayList[Date],1,0)))),TRUE,FALSE),FALSE)</f>
        <v>1</v>
      </c>
      <c r="EW4" s="15" t="b">
        <f>IFERROR(IF(AND(VLOOKUP(EW6,$NX$49:$NY$55,2,0)="Yes",NOT(ISNUMBER(VLOOKUP(DATE($A$2,$A$3+$A$1-1,EW5),HolidayList[Date],1,0)))),TRUE,FALSE),FALSE)</f>
        <v>1</v>
      </c>
      <c r="EX4" s="15" t="b">
        <f>IFERROR(IF(AND(VLOOKUP(EX6,$NX$49:$NY$55,2,0)="Yes",NOT(ISNUMBER(VLOOKUP(DATE($A$2,$A$3+$A$1-1,EX5),HolidayList[Date],1,0)))),TRUE,FALSE),FALSE)</f>
        <v>1</v>
      </c>
      <c r="EY4" s="15" t="b">
        <f>IFERROR(IF(AND(VLOOKUP(EY6,$NX$49:$NY$55,2,0)="Yes",NOT(ISNUMBER(VLOOKUP(DATE($A$2,$A$3+$A$1-1,EY5),HolidayList[Date],1,0)))),TRUE,FALSE),FALSE)</f>
        <v>0</v>
      </c>
      <c r="EZ4" s="15" t="b">
        <f>IFERROR(IF(AND(VLOOKUP(EZ6,$NX$49:$NY$55,2,0)="Yes",NOT(ISNUMBER(VLOOKUP(DATE($A$2,$A$3+$A$1-1,EZ5),HolidayList[Date],1,0)))),TRUE,FALSE),FALSE)</f>
        <v>0</v>
      </c>
      <c r="FA4" s="15" t="b">
        <f>IFERROR(IF(AND(VLOOKUP(FA6,$NX$49:$NY$55,2,0)="Yes",NOT(ISNUMBER(VLOOKUP(DATE($A$2,$A$3+$A$1-1,FA5),HolidayList[Date],1,0)))),TRUE,FALSE),FALSE)</f>
        <v>0</v>
      </c>
      <c r="FB4" s="15" t="b">
        <f>IFERROR(IF(AND(VLOOKUP(FB6,$NX$49:$NY$55,2,0)="Yes",NOT(ISNUMBER(VLOOKUP(DATE($A$2,$A$3+$A$1-1,FB5),HolidayList[Date],1,0)))),TRUE,FALSE),FALSE)</f>
        <v>0</v>
      </c>
      <c r="FC4" s="15" t="b">
        <f>IFERROR(IF(AND(VLOOKUP(FC6,$NX$49:$NY$55,2,0)="Yes",NOT(ISNUMBER(VLOOKUP(DATE($A$2,$A$3+$A$1-1,FC5),HolidayList[Date],1,0)))),TRUE,FALSE),FALSE)</f>
        <v>0</v>
      </c>
      <c r="FD4" s="15" t="b">
        <f>IFERROR(IF(AND(VLOOKUP(FD6,$NX$49:$NY$55,2,0)="Yes",NOT(ISNUMBER(VLOOKUP(DATE($A$2,$A$3+$A$1-1,FD5),HolidayList[Date],1,0)))),TRUE,FALSE),FALSE)</f>
        <v>0</v>
      </c>
      <c r="FE4" s="15" t="b">
        <f>IFERROR(IF(AND(VLOOKUP(FE6,$NX$49:$NY$55,2,0)="Yes",NOT(ISNUMBER(VLOOKUP(DATE($A$2,$A$3+$A$1-1,FE5),HolidayList[Date],1,0)))),TRUE,FALSE),FALSE)</f>
        <v>0</v>
      </c>
      <c r="FF4" s="15" t="b">
        <f>IFERROR(IF(AND(VLOOKUP(FF6,$NX$49:$NY$55,2,0)="Yes",NOT(ISNUMBER(VLOOKUP(DATE($A$2,$A$3+$A$1-1,FF5),HolidayList[Date],1,0)))),TRUE,FALSE),FALSE)</f>
        <v>0</v>
      </c>
      <c r="FG4" s="15" t="b">
        <f>IFERROR(IF(AND(VLOOKUP(FG6,$NX$49:$NY$55,2,0)="Yes",NOT(ISNUMBER(VLOOKUP(DATE($A$2,$A$3+$A$1-1,FG5),HolidayList[Date],1,0)))),TRUE,FALSE),FALSE)</f>
        <v>0</v>
      </c>
      <c r="FH4" s="15" t="b">
        <f>IFERROR(IF(AND(VLOOKUP(FH6,$NX$49:$NY$55,2,0)="Yes",NOT(ISNUMBER(VLOOKUP(DATE($A$2,$A$3+$A$1-1,FH5),HolidayList[Date],1,0)))),TRUE,FALSE),FALSE)</f>
        <v>0</v>
      </c>
      <c r="FI4" s="15" t="b">
        <f>IFERROR(IF(AND(VLOOKUP(FI6,$NX$49:$NY$55,2,0)="Yes",NOT(ISNUMBER(VLOOKUP(DATE($A$2,$A$3+$A$1-1,FI5),HolidayList[Date],1,0)))),TRUE,FALSE),FALSE)</f>
        <v>0</v>
      </c>
      <c r="FJ4" s="15" t="b">
        <f>IFERROR(IF(AND(VLOOKUP(FJ6,$NX$49:$NY$55,2,0)="Yes",NOT(ISNUMBER(VLOOKUP(DATE($A$2,$A$3+$A$1-1,FJ5),HolidayList[Date],1,0)))),TRUE,FALSE),FALSE)</f>
        <v>0</v>
      </c>
      <c r="FK4" s="15" t="b">
        <f>IFERROR(IF(AND(VLOOKUP(FK6,$NX$49:$NY$55,2,0)="Yes",NOT(ISNUMBER(VLOOKUP(DATE($A$2,$A$3+$A$1-1,FK5),HolidayList[Date],1,0)))),TRUE,FALSE),FALSE)</f>
        <v>0</v>
      </c>
      <c r="FL4" s="15" t="b">
        <f>IFERROR(IF(AND(VLOOKUP(FL6,$NX$49:$NY$55,2,0)="Yes",NOT(ISNUMBER(VLOOKUP(DATE($A$2,$A$3+$A$1-1,FL5),HolidayList[Date],1,0)))),TRUE,FALSE),FALSE)</f>
        <v>0</v>
      </c>
      <c r="FM4" s="15" t="b">
        <f>IFERROR(IF(AND(VLOOKUP(FM6,$NX$49:$NY$55,2,0)="Yes",NOT(ISNUMBER(VLOOKUP(DATE($A$2,$A$3+$A$1-1,FM5),HolidayList[Date],1,0)))),TRUE,FALSE),FALSE)</f>
        <v>0</v>
      </c>
      <c r="FN4" s="15" t="b">
        <f>IFERROR(IF(AND(VLOOKUP(FN6,$NX$49:$NY$55,2,0)="Yes",NOT(ISNUMBER(VLOOKUP(DATE($A$2,$A$3+$A$1-1,FN5),HolidayList[Date],1,0)))),TRUE,FALSE),FALSE)</f>
        <v>0</v>
      </c>
      <c r="FO4" s="15" t="b">
        <f>IFERROR(IF(AND(VLOOKUP(FO6,$NX$49:$NY$55,2,0)="Yes",NOT(ISNUMBER(VLOOKUP(DATE($A$2,$A$3+$A$1-1,FO5),HolidayList[Date],1,0)))),TRUE,FALSE),FALSE)</f>
        <v>0</v>
      </c>
      <c r="FP4" s="15" t="b">
        <f>IFERROR(IF(AND(VLOOKUP(FP6,$NX$49:$NY$55,2,0)="Yes",NOT(ISNUMBER(VLOOKUP(DATE($A$2,$A$3+$A$1-1,FP5),HolidayList[Date],1,0)))),TRUE,FALSE),FALSE)</f>
        <v>0</v>
      </c>
      <c r="FQ4" s="15" t="b">
        <f>IFERROR(IF(AND(VLOOKUP(FQ6,$NX$49:$NY$55,2,0)="Yes",NOT(ISNUMBER(VLOOKUP(DATE($A$2,$A$3+$A$1-1,FQ5),HolidayList[Date],1,0)))),TRUE,FALSE),FALSE)</f>
        <v>0</v>
      </c>
      <c r="FR4" s="15" t="b">
        <f>IFERROR(IF(AND(VLOOKUP(FR6,$NX$49:$NY$55,2,0)="Yes",NOT(ISNUMBER(VLOOKUP(DATE($A$2,$A$3+$A$1-1,FR5),HolidayList[Date],1,0)))),TRUE,FALSE),FALSE)</f>
        <v>0</v>
      </c>
      <c r="FS4" s="15" t="b">
        <f>IFERROR(IF(AND(VLOOKUP(FS6,$NX$49:$NY$55,2,0)="Yes",NOT(ISNUMBER(VLOOKUP(DATE($A$2,$A$3+$A$1-1,FS5),HolidayList[Date],1,0)))),TRUE,FALSE),FALSE)</f>
        <v>0</v>
      </c>
      <c r="FT4" s="15" t="b">
        <f>IFERROR(IF(AND(VLOOKUP(FT6,$NX$49:$NY$55,2,0)="Yes",NOT(ISNUMBER(VLOOKUP(DATE($A$2,$A$3+$A$1-1,FT5),HolidayList[Date],1,0)))),TRUE,FALSE),FALSE)</f>
        <v>0</v>
      </c>
      <c r="FU4" s="15" t="b">
        <f>IFERROR(IF(AND(VLOOKUP(FU6,$NX$49:$NY$55,2,0)="Yes",NOT(ISNUMBER(VLOOKUP(DATE($A$2,$A$3+$A$1-1,FU5),HolidayList[Date],1,0)))),TRUE,FALSE),FALSE)</f>
        <v>0</v>
      </c>
      <c r="FV4" s="15" t="b">
        <f>IFERROR(IF(AND(VLOOKUP(FV6,$NX$49:$NY$55,2,0)="Yes",NOT(ISNUMBER(VLOOKUP(DATE($A$2,$A$3+$A$1-1,FV5),HolidayList[Date],1,0)))),TRUE,FALSE),FALSE)</f>
        <v>0</v>
      </c>
      <c r="FW4" s="15" t="b">
        <f>IFERROR(IF(AND(VLOOKUP(FW6,$NX$49:$NY$55,2,0)="Yes",NOT(ISNUMBER(VLOOKUP(DATE($A$2,$A$3+$A$1-1,FW5),HolidayList[Date],1,0)))),TRUE,FALSE),FALSE)</f>
        <v>0</v>
      </c>
      <c r="FX4" s="15" t="b">
        <f>IFERROR(IF(AND(VLOOKUP(FX6,$NX$49:$NY$55,2,0)="Yes",NOT(ISNUMBER(VLOOKUP(DATE($A$2,$A$3+$A$1-1,FX5),HolidayList[Date],1,0)))),TRUE,FALSE),FALSE)</f>
        <v>0</v>
      </c>
      <c r="FY4" s="15" t="b">
        <f>IFERROR(IF(AND(VLOOKUP(FY6,$NX$49:$NY$55,2,0)="Yes",NOT(ISNUMBER(VLOOKUP(DATE($A$2,$A$3+$A$1-1,FY5),HolidayList[Date],1,0)))),TRUE,FALSE),FALSE)</f>
        <v>0</v>
      </c>
      <c r="FZ4" s="15" t="b">
        <f>IFERROR(IF(AND(VLOOKUP(FZ6,$NX$49:$NY$55,2,0)="Yes",NOT(ISNUMBER(VLOOKUP(DATE($A$2,$A$3+$A$1-1,FZ5),HolidayList[Date],1,0)))),TRUE,FALSE),FALSE)</f>
        <v>0</v>
      </c>
      <c r="GA4" s="15" t="b">
        <f>IFERROR(IF(AND(VLOOKUP(GA6,$NX$49:$NY$55,2,0)="Yes",NOT(ISNUMBER(VLOOKUP(DATE($A$2,$A$3+$A$1-1,GA5),HolidayList[Date],1,0)))),TRUE,FALSE),FALSE)</f>
        <v>0</v>
      </c>
      <c r="GB4" s="15" t="b">
        <f>IFERROR(IF(AND(VLOOKUP(GB6,$NX$49:$NY$55,2,0)="Yes",NOT(ISNUMBER(VLOOKUP(DATE($A$2,$A$3+$A$1-1,GB5),HolidayList[Date],1,0)))),TRUE,FALSE),FALSE)</f>
        <v>0</v>
      </c>
      <c r="GC4" s="15" t="b">
        <f>IFERROR(IF(AND(VLOOKUP(GC6,$NX$49:$NY$55,2,0)="Yes",NOT(ISNUMBER(VLOOKUP(DATE($A$2,$A$3+$A$1-1,GC5),HolidayList[Date],1,0)))),TRUE,FALSE),FALSE)</f>
        <v>0</v>
      </c>
      <c r="GD4" s="15" t="b">
        <f>IFERROR(IF(AND(VLOOKUP(GD6,$NX$49:$NY$55,2,0)="Yes",NOT(ISNUMBER(VLOOKUP(DATE($A$2,$A$3+$A$1-1,GD5),HolidayList[Date],1,0)))),TRUE,FALSE),FALSE)</f>
        <v>0</v>
      </c>
      <c r="GE4" s="15" t="b">
        <f>IFERROR(IF(AND(VLOOKUP(GE6,$NX$49:$NY$55,2,0)="Yes",NOT(ISNUMBER(VLOOKUP(DATE($A$2,$A$3+$A$1-1,GE5),HolidayList[Date],1,0)))),TRUE,FALSE),FALSE)</f>
        <v>0</v>
      </c>
      <c r="GF4" s="15" t="b">
        <f>IFERROR(IF(AND(VLOOKUP(GF6,$NX$49:$NY$55,2,0)="Yes",NOT(ISNUMBER(VLOOKUP(DATE($A$2,$A$3+$A$1-1,GF5),HolidayList[Date],1,0)))),TRUE,FALSE),FALSE)</f>
        <v>0</v>
      </c>
      <c r="GG4" s="15" t="b">
        <f>IFERROR(IF(AND(VLOOKUP(GG6,$NX$49:$NY$55,2,0)="Yes",NOT(ISNUMBER(VLOOKUP(DATE($A$2,$A$3+$A$1-1,GG5),HolidayList[Date],1,0)))),TRUE,FALSE),FALSE)</f>
        <v>0</v>
      </c>
      <c r="GH4" s="15" t="b">
        <f>IFERROR(IF(AND(VLOOKUP(GH6,$NX$49:$NY$55,2,0)="Yes",NOT(ISNUMBER(VLOOKUP(DATE($A$2,$A$3+$A$1-1,GH5),HolidayList[Date],1,0)))),TRUE,FALSE),FALSE)</f>
        <v>0</v>
      </c>
      <c r="GI4" s="15" t="b">
        <f>IFERROR(IF(AND(VLOOKUP(GI6,$NX$49:$NY$55,2,0)="Yes",NOT(ISNUMBER(VLOOKUP(DATE($A$2,$A$3+$A$1-1,GI5),HolidayList[Date],1,0)))),TRUE,FALSE),FALSE)</f>
        <v>0</v>
      </c>
      <c r="GJ4" s="15" t="b">
        <f>IFERROR(IF(AND(VLOOKUP(GJ6,$NX$49:$NY$55,2,0)="Yes",NOT(ISNUMBER(VLOOKUP(DATE($A$2,$A$3+$A$1-1,GJ5),HolidayList[Date],1,0)))),TRUE,FALSE),FALSE)</f>
        <v>0</v>
      </c>
      <c r="GK4" s="15" t="b">
        <f>IFERROR(IF(AND(VLOOKUP(GK6,$NX$49:$NY$55,2,0)="Yes",NOT(ISNUMBER(VLOOKUP(DATE($A$2,$A$3+$A$1-1,GK5),HolidayList[Date],1,0)))),TRUE,FALSE),FALSE)</f>
        <v>0</v>
      </c>
      <c r="GL4" s="15" t="b">
        <f>IFERROR(IF(AND(VLOOKUP(GL6,$NX$49:$NY$55,2,0)="Yes",NOT(ISNUMBER(VLOOKUP(DATE($A$2,$A$3+$A$1-1,GL5),HolidayList[Date],1,0)))),TRUE,FALSE),FALSE)</f>
        <v>0</v>
      </c>
      <c r="GM4" s="15" t="b">
        <f>IFERROR(IF(AND(VLOOKUP(GM6,$NX$49:$NY$55,2,0)="Yes",NOT(ISNUMBER(VLOOKUP(DATE($A$2,$A$3+$A$1-1,GM5),HolidayList[Date],1,0)))),TRUE,FALSE),FALSE)</f>
        <v>0</v>
      </c>
      <c r="GN4" s="15" t="b">
        <f>IFERROR(IF(AND(VLOOKUP(GN6,$NX$49:$NY$55,2,0)="Yes",NOT(ISNUMBER(VLOOKUP(DATE($A$2,$A$3+$A$1-1,GN5),HolidayList[Date],1,0)))),TRUE,FALSE),FALSE)</f>
        <v>0</v>
      </c>
      <c r="GO4" s="15" t="b">
        <f>IFERROR(IF(AND(VLOOKUP(GO6,$NX$49:$NY$55,2,0)="Yes",NOT(ISNUMBER(VLOOKUP(DATE($A$2,$A$3+$A$1-1,GO5),HolidayList[Date],1,0)))),TRUE,FALSE),FALSE)</f>
        <v>0</v>
      </c>
      <c r="GP4" s="15" t="b">
        <f>IFERROR(IF(AND(VLOOKUP(GP6,$NX$49:$NY$55,2,0)="Yes",NOT(ISNUMBER(VLOOKUP(DATE($A$2,$A$3+$A$1-1,GP5),HolidayList[Date],1,0)))),TRUE,FALSE),FALSE)</f>
        <v>0</v>
      </c>
      <c r="GQ4" s="15" t="b">
        <f>IFERROR(IF(AND(VLOOKUP(GQ6,$NX$49:$NY$55,2,0)="Yes",NOT(ISNUMBER(VLOOKUP(DATE($A$2,$A$3+$A$1-1,GQ5),HolidayList[Date],1,0)))),TRUE,FALSE),FALSE)</f>
        <v>0</v>
      </c>
      <c r="GR4" s="15" t="b">
        <f>IFERROR(IF(AND(VLOOKUP(GR6,$NX$49:$NY$55,2,0)="Yes",NOT(ISNUMBER(VLOOKUP(DATE($A$2,$A$3+$A$1-1,GR5),HolidayList[Date],1,0)))),TRUE,FALSE),FALSE)</f>
        <v>0</v>
      </c>
      <c r="GS4" s="15" t="b">
        <f>IFERROR(IF(AND(VLOOKUP(GS6,$NX$49:$NY$55,2,0)="Yes",NOT(ISNUMBER(VLOOKUP(DATE($A$2,$A$3+$A$1-1,GS5),HolidayList[Date],1,0)))),TRUE,FALSE),FALSE)</f>
        <v>0</v>
      </c>
      <c r="GT4" s="15" t="b">
        <f>IFERROR(IF(AND(VLOOKUP(GT6,$NX$49:$NY$55,2,0)="Yes",NOT(ISNUMBER(VLOOKUP(DATE($A$2,$A$3+$A$1-1,GT5),HolidayList[Date],1,0)))),TRUE,FALSE),FALSE)</f>
        <v>0</v>
      </c>
      <c r="GU4" s="15" t="b">
        <f>IFERROR(IF(AND(VLOOKUP(GU6,$NX$49:$NY$55,2,0)="Yes",NOT(ISNUMBER(VLOOKUP(DATE($A$2,$A$3+$A$1-1,GU5),HolidayList[Date],1,0)))),TRUE,FALSE),FALSE)</f>
        <v>0</v>
      </c>
      <c r="GV4" s="15" t="b">
        <f>IFERROR(IF(AND(VLOOKUP(GV6,$NX$49:$NY$55,2,0)="Yes",NOT(ISNUMBER(VLOOKUP(DATE($A$2,$A$3+$A$1-1,GV5),HolidayList[Date],1,0)))),TRUE,FALSE),FALSE)</f>
        <v>0</v>
      </c>
      <c r="GW4" s="15" t="b">
        <f>IFERROR(IF(AND(VLOOKUP(GW6,$NX$49:$NY$55,2,0)="Yes",NOT(ISNUMBER(VLOOKUP(DATE($A$2,$A$3+$A$1-1,GW5),HolidayList[Date],1,0)))),TRUE,FALSE),FALSE)</f>
        <v>0</v>
      </c>
      <c r="GX4" s="15" t="b">
        <f>IFERROR(IF(AND(VLOOKUP(GX6,$NX$49:$NY$55,2,0)="Yes",NOT(ISNUMBER(VLOOKUP(DATE($A$2,$A$3+$A$1-1,GX5),HolidayList[Date],1,0)))),TRUE,FALSE),FALSE)</f>
        <v>0</v>
      </c>
      <c r="GY4" s="15" t="b">
        <f>IFERROR(IF(AND(VLOOKUP(GY6,$NX$49:$NY$55,2,0)="Yes",NOT(ISNUMBER(VLOOKUP(DATE($A$2,$A$3+$A$1-1,GY5),HolidayList[Date],1,0)))),TRUE,FALSE),FALSE)</f>
        <v>0</v>
      </c>
      <c r="GZ4" s="15" t="b">
        <f>IFERROR(IF(AND(VLOOKUP(GZ6,$NX$49:$NY$55,2,0)="Yes",NOT(ISNUMBER(VLOOKUP(DATE($A$2,$A$3+$A$1-1,GZ5),HolidayList[Date],1,0)))),TRUE,FALSE),FALSE)</f>
        <v>0</v>
      </c>
      <c r="HA4" s="15" t="b">
        <f>IFERROR(IF(AND(VLOOKUP(HA6,$NX$49:$NY$55,2,0)="Yes",NOT(ISNUMBER(VLOOKUP(DATE($A$2,$A$3+$A$1-1,HA5),HolidayList[Date],1,0)))),TRUE,FALSE),FALSE)</f>
        <v>0</v>
      </c>
      <c r="HB4" s="15" t="b">
        <f>IFERROR(IF(AND(VLOOKUP(HB6,$NX$49:$NY$55,2,0)="Yes",NOT(ISNUMBER(VLOOKUP(DATE($A$2,$A$3+$A$1-1,HB5),HolidayList[Date],1,0)))),TRUE,FALSE),FALSE)</f>
        <v>0</v>
      </c>
      <c r="HC4" s="15" t="b">
        <f>IFERROR(IF(AND(VLOOKUP(HC6,$NX$49:$NY$55,2,0)="Yes",NOT(ISNUMBER(VLOOKUP(DATE($A$2,$A$3+$A$1-1,HC5),HolidayList[Date],1,0)))),TRUE,FALSE),FALSE)</f>
        <v>0</v>
      </c>
      <c r="HD4" s="15" t="b">
        <f>IFERROR(IF(AND(VLOOKUP(HD6,$NX$49:$NY$55,2,0)="Yes",NOT(ISNUMBER(VLOOKUP(DATE($A$2,$A$3+$A$1-1,HD5),HolidayList[Date],1,0)))),TRUE,FALSE),FALSE)</f>
        <v>0</v>
      </c>
      <c r="HE4" s="15" t="b">
        <f>IFERROR(IF(AND(VLOOKUP(HE6,$NX$49:$NY$55,2,0)="Yes",NOT(ISNUMBER(VLOOKUP(DATE($A$2,$A$3+$A$1-1,HE5),HolidayList[Date],1,0)))),TRUE,FALSE),FALSE)</f>
        <v>0</v>
      </c>
      <c r="HF4" s="15" t="b">
        <f>IFERROR(IF(AND(VLOOKUP(HF6,$NX$49:$NY$55,2,0)="Yes",NOT(ISNUMBER(VLOOKUP(DATE($A$2,$A$3+$A$1-1,HF5),HolidayList[Date],1,0)))),TRUE,FALSE),FALSE)</f>
        <v>0</v>
      </c>
      <c r="HG4" s="15" t="b">
        <f>IFERROR(IF(AND(VLOOKUP(HG6,$NX$49:$NY$55,2,0)="Yes",NOT(ISNUMBER(VLOOKUP(DATE($A$2,$A$3+$A$1-1,HG5),HolidayList[Date],1,0)))),TRUE,FALSE),FALSE)</f>
        <v>0</v>
      </c>
      <c r="HH4" s="15" t="b">
        <f>IFERROR(IF(AND(VLOOKUP(HH6,$NX$49:$NY$55,2,0)="Yes",NOT(ISNUMBER(VLOOKUP(DATE($A$2,$A$3+$A$1-1,HH5),HolidayList[Date],1,0)))),TRUE,FALSE),FALSE)</f>
        <v>0</v>
      </c>
      <c r="HI4" s="15" t="b">
        <f>IFERROR(IF(AND(VLOOKUP(HI6,$NX$49:$NY$55,2,0)="Yes",NOT(ISNUMBER(VLOOKUP(DATE($A$2,$A$3+$A$1-1,HI5),HolidayList[Date],1,0)))),TRUE,FALSE),FALSE)</f>
        <v>0</v>
      </c>
      <c r="HJ4" s="15" t="b">
        <f>IFERROR(IF(AND(VLOOKUP(HJ6,$NX$49:$NY$55,2,0)="Yes",NOT(ISNUMBER(VLOOKUP(DATE($A$2,$A$3+$A$1-1,HJ5),HolidayList[Date],1,0)))),TRUE,FALSE),FALSE)</f>
        <v>0</v>
      </c>
      <c r="HK4" s="15" t="b">
        <f>IFERROR(IF(AND(VLOOKUP(HK6,$NX$49:$NY$55,2,0)="Yes",NOT(ISNUMBER(VLOOKUP(DATE($A$2,$A$3+$A$1-1,HK5),HolidayList[Date],1,0)))),TRUE,FALSE),FALSE)</f>
        <v>0</v>
      </c>
      <c r="HL4" s="15" t="b">
        <f>IFERROR(IF(AND(VLOOKUP(HL6,$NX$49:$NY$55,2,0)="Yes",NOT(ISNUMBER(VLOOKUP(DATE($A$2,$A$3+$A$1-1,HL5),HolidayList[Date],1,0)))),TRUE,FALSE),FALSE)</f>
        <v>0</v>
      </c>
      <c r="HM4" s="15" t="b">
        <f>IFERROR(IF(AND(VLOOKUP(HM6,$NX$49:$NY$55,2,0)="Yes",NOT(ISNUMBER(VLOOKUP(DATE($A$2,$A$3+$A$1-1,HM5),HolidayList[Date],1,0)))),TRUE,FALSE),FALSE)</f>
        <v>0</v>
      </c>
      <c r="HN4" s="15" t="b">
        <f>IFERROR(IF(AND(VLOOKUP(HN6,$NX$49:$NY$55,2,0)="Yes",NOT(ISNUMBER(VLOOKUP(DATE($A$2,$A$3+$A$1-1,HN5),HolidayList[Date],1,0)))),TRUE,FALSE),FALSE)</f>
        <v>0</v>
      </c>
      <c r="HO4" s="15" t="b">
        <f>IFERROR(IF(AND(VLOOKUP(HO6,$NX$49:$NY$55,2,0)="Yes",NOT(ISNUMBER(VLOOKUP(DATE($A$2,$A$3+$A$1-1,HO5),HolidayList[Date],1,0)))),TRUE,FALSE),FALSE)</f>
        <v>0</v>
      </c>
      <c r="HP4" s="15" t="b">
        <f>IFERROR(IF(AND(VLOOKUP(HP6,$NX$49:$NY$55,2,0)="Yes",NOT(ISNUMBER(VLOOKUP(DATE($A$2,$A$3+$A$1-1,HP5),HolidayList[Date],1,0)))),TRUE,FALSE),FALSE)</f>
        <v>0</v>
      </c>
      <c r="HQ4" s="15" t="b">
        <f>IFERROR(IF(AND(VLOOKUP(HQ6,$NX$49:$NY$55,2,0)="Yes",NOT(ISNUMBER(VLOOKUP(DATE($A$2,$A$3+$A$1-1,HQ5),HolidayList[Date],1,0)))),TRUE,FALSE),FALSE)</f>
        <v>0</v>
      </c>
      <c r="HR4" s="15" t="b">
        <f>IFERROR(IF(AND(VLOOKUP(HR6,$NX$49:$NY$55,2,0)="Yes",NOT(ISNUMBER(VLOOKUP(DATE($A$2,$A$3+$A$1-1,HR5),HolidayList[Date],1,0)))),TRUE,FALSE),FALSE)</f>
        <v>0</v>
      </c>
      <c r="HS4" s="15" t="b">
        <f>IFERROR(IF(AND(VLOOKUP(HS6,$NX$49:$NY$55,2,0)="Yes",NOT(ISNUMBER(VLOOKUP(DATE($A$2,$A$3+$A$1-1,HS5),HolidayList[Date],1,0)))),TRUE,FALSE),FALSE)</f>
        <v>0</v>
      </c>
      <c r="HT4" s="15" t="b">
        <f>IFERROR(IF(AND(VLOOKUP(HT6,$NX$49:$NY$55,2,0)="Yes",NOT(ISNUMBER(VLOOKUP(DATE($A$2,$A$3+$A$1-1,HT5),HolidayList[Date],1,0)))),TRUE,FALSE),FALSE)</f>
        <v>0</v>
      </c>
      <c r="HU4" s="15" t="b">
        <f>IFERROR(IF(AND(VLOOKUP(HU6,$NX$49:$NY$55,2,0)="Yes",NOT(ISNUMBER(VLOOKUP(DATE($A$2,$A$3+$A$1-1,HU5),HolidayList[Date],1,0)))),TRUE,FALSE),FALSE)</f>
        <v>0</v>
      </c>
      <c r="HV4" s="15" t="b">
        <f>IFERROR(IF(AND(VLOOKUP(HV6,$NX$49:$NY$55,2,0)="Yes",NOT(ISNUMBER(VLOOKUP(DATE($A$2,$A$3+$A$1-1,HV5),HolidayList[Date],1,0)))),TRUE,FALSE),FALSE)</f>
        <v>0</v>
      </c>
      <c r="HW4" s="15" t="b">
        <f>IFERROR(IF(AND(VLOOKUP(HW6,$NX$49:$NY$55,2,0)="Yes",NOT(ISNUMBER(VLOOKUP(DATE($A$2,$A$3+$A$1-1,HW5),HolidayList[Date],1,0)))),TRUE,FALSE),FALSE)</f>
        <v>0</v>
      </c>
      <c r="HX4" s="15" t="b">
        <f>IFERROR(IF(AND(VLOOKUP(HX6,$NX$49:$NY$55,2,0)="Yes",NOT(ISNUMBER(VLOOKUP(DATE($A$2,$A$3+$A$1-1,HX5),HolidayList[Date],1,0)))),TRUE,FALSE),FALSE)</f>
        <v>0</v>
      </c>
      <c r="HY4" s="15" t="b">
        <f>IFERROR(IF(AND(VLOOKUP(HY6,$NX$49:$NY$55,2,0)="Yes",NOT(ISNUMBER(VLOOKUP(DATE($A$2,$A$3+$A$1-1,HY5),HolidayList[Date],1,0)))),TRUE,FALSE),FALSE)</f>
        <v>0</v>
      </c>
      <c r="HZ4" s="15" t="b">
        <f>IFERROR(IF(AND(VLOOKUP(HZ6,$NX$49:$NY$55,2,0)="Yes",NOT(ISNUMBER(VLOOKUP(DATE($A$2,$A$3+$A$1-1,HZ5),HolidayList[Date],1,0)))),TRUE,FALSE),FALSE)</f>
        <v>0</v>
      </c>
      <c r="IA4" s="15" t="b">
        <f>IFERROR(IF(AND(VLOOKUP(IA6,$NX$49:$NY$55,2,0)="Yes",NOT(ISNUMBER(VLOOKUP(DATE($A$2,$A$3+$A$1-1,IA5),HolidayList[Date],1,0)))),TRUE,FALSE),FALSE)</f>
        <v>0</v>
      </c>
      <c r="IB4" s="15" t="b">
        <f>IFERROR(IF(AND(VLOOKUP(IB6,$NX$49:$NY$55,2,0)="Yes",NOT(ISNUMBER(VLOOKUP(DATE($A$2,$A$3+$A$1-1,IB5),HolidayList[Date],1,0)))),TRUE,FALSE),FALSE)</f>
        <v>0</v>
      </c>
      <c r="IC4" s="15" t="b">
        <f>IFERROR(IF(AND(VLOOKUP(IC6,$NX$49:$NY$55,2,0)="Yes",NOT(ISNUMBER(VLOOKUP(DATE($A$2,$A$3+$A$1-1,IC5),HolidayList[Date],1,0)))),TRUE,FALSE),FALSE)</f>
        <v>0</v>
      </c>
      <c r="ID4" s="15" t="b">
        <f>IFERROR(IF(AND(VLOOKUP(ID6,$NX$49:$NY$55,2,0)="Yes",NOT(ISNUMBER(VLOOKUP(DATE($A$2,$A$3+$A$1-1,ID5),HolidayList[Date],1,0)))),TRUE,FALSE),FALSE)</f>
        <v>0</v>
      </c>
      <c r="IE4" s="15" t="b">
        <f>IFERROR(IF(AND(VLOOKUP(IE6,$NX$49:$NY$55,2,0)="Yes",NOT(ISNUMBER(VLOOKUP(DATE($A$2,$A$3+$A$1-1,IE5),HolidayList[Date],1,0)))),TRUE,FALSE),FALSE)</f>
        <v>0</v>
      </c>
      <c r="IF4" s="15" t="b">
        <f>IFERROR(IF(AND(VLOOKUP(IF6,$NX$49:$NY$55,2,0)="Yes",NOT(ISNUMBER(VLOOKUP(DATE($A$2,$A$3+$A$1-1,IF5),HolidayList[Date],1,0)))),TRUE,FALSE),FALSE)</f>
        <v>0</v>
      </c>
      <c r="IG4" s="15" t="b">
        <f>IFERROR(IF(AND(VLOOKUP(IG6,$NX$49:$NY$55,2,0)="Yes",NOT(ISNUMBER(VLOOKUP(DATE($A$2,$A$3+$A$1-1,IG5),HolidayList[Date],1,0)))),TRUE,FALSE),FALSE)</f>
        <v>0</v>
      </c>
      <c r="IH4" s="15" t="b">
        <f>IFERROR(IF(AND(VLOOKUP(IH6,$NX$49:$NY$55,2,0)="Yes",NOT(ISNUMBER(VLOOKUP(DATE($A$2,$A$3+$A$1-1,IH5),HolidayList[Date],1,0)))),TRUE,FALSE),FALSE)</f>
        <v>0</v>
      </c>
      <c r="II4" s="15" t="b">
        <f>IFERROR(IF(AND(VLOOKUP(II6,$NX$49:$NY$55,2,0)="Yes",NOT(ISNUMBER(VLOOKUP(DATE($A$2,$A$3+$A$1-1,II5),HolidayList[Date],1,0)))),TRUE,FALSE),FALSE)</f>
        <v>0</v>
      </c>
      <c r="IJ4" s="15" t="b">
        <f>IFERROR(IF(AND(VLOOKUP(IJ6,$NX$49:$NY$55,2,0)="Yes",NOT(ISNUMBER(VLOOKUP(DATE($A$2,$A$3+$A$1-1,IJ5),HolidayList[Date],1,0)))),TRUE,FALSE),FALSE)</f>
        <v>0</v>
      </c>
      <c r="IK4" s="15" t="b">
        <f>IFERROR(IF(AND(VLOOKUP(IK6,$NX$49:$NY$55,2,0)="Yes",NOT(ISNUMBER(VLOOKUP(DATE($A$2,$A$3+$A$1-1,IK5),HolidayList[Date],1,0)))),TRUE,FALSE),FALSE)</f>
        <v>0</v>
      </c>
      <c r="IL4" s="15" t="b">
        <f>IFERROR(IF(AND(VLOOKUP(IL6,$NX$49:$NY$55,2,0)="Yes",NOT(ISNUMBER(VLOOKUP(DATE($A$2,$A$3+$A$1-1,IL5),HolidayList[Date],1,0)))),TRUE,FALSE),FALSE)</f>
        <v>0</v>
      </c>
      <c r="IM4" s="15" t="b">
        <f>IFERROR(IF(AND(VLOOKUP(IM6,$NX$49:$NY$55,2,0)="Yes",NOT(ISNUMBER(VLOOKUP(DATE($A$2,$A$3+$A$1-1,IM5),HolidayList[Date],1,0)))),TRUE,FALSE),FALSE)</f>
        <v>0</v>
      </c>
      <c r="IN4" s="15" t="b">
        <f>IFERROR(IF(AND(VLOOKUP(IN6,$NX$49:$NY$55,2,0)="Yes",NOT(ISNUMBER(VLOOKUP(DATE($A$2,$A$3+$A$1-1,IN5),HolidayList[Date],1,0)))),TRUE,FALSE),FALSE)</f>
        <v>0</v>
      </c>
      <c r="IO4" s="15" t="b">
        <f>IFERROR(IF(AND(VLOOKUP(IO6,$NX$49:$NY$55,2,0)="Yes",NOT(ISNUMBER(VLOOKUP(DATE($A$2,$A$3+$A$1-1,IO5),HolidayList[Date],1,0)))),TRUE,FALSE),FALSE)</f>
        <v>0</v>
      </c>
      <c r="IP4" s="15" t="b">
        <f>IFERROR(IF(AND(VLOOKUP(IP6,$NX$49:$NY$55,2,0)="Yes",NOT(ISNUMBER(VLOOKUP(DATE($A$2,$A$3+$A$1-1,IP5),HolidayList[Date],1,0)))),TRUE,FALSE),FALSE)</f>
        <v>0</v>
      </c>
      <c r="IQ4" s="15" t="b">
        <f>IFERROR(IF(AND(VLOOKUP(IQ6,$NX$49:$NY$55,2,0)="Yes",NOT(ISNUMBER(VLOOKUP(DATE($A$2,$A$3+$A$1-1,IQ5),HolidayList[Date],1,0)))),TRUE,FALSE),FALSE)</f>
        <v>0</v>
      </c>
      <c r="IR4" s="15" t="b">
        <f>IFERROR(IF(AND(VLOOKUP(IR6,$NX$49:$NY$55,2,0)="Yes",NOT(ISNUMBER(VLOOKUP(DATE($A$2,$A$3+$A$1-1,IR5),HolidayList[Date],1,0)))),TRUE,FALSE),FALSE)</f>
        <v>0</v>
      </c>
      <c r="IS4" s="15" t="b">
        <f>IFERROR(IF(AND(VLOOKUP(IS6,$NX$49:$NY$55,2,0)="Yes",NOT(ISNUMBER(VLOOKUP(DATE($A$2,$A$3+$A$1-1,IS5),HolidayList[Date],1,0)))),TRUE,FALSE),FALSE)</f>
        <v>0</v>
      </c>
      <c r="IT4" s="15" t="b">
        <f>IFERROR(IF(AND(VLOOKUP(IT6,$NX$49:$NY$55,2,0)="Yes",NOT(ISNUMBER(VLOOKUP(DATE($A$2,$A$3+$A$1-1,IT5),HolidayList[Date],1,0)))),TRUE,FALSE),FALSE)</f>
        <v>0</v>
      </c>
      <c r="IU4" s="15" t="b">
        <f>IFERROR(IF(AND(VLOOKUP(IU6,$NX$49:$NY$55,2,0)="Yes",NOT(ISNUMBER(VLOOKUP(DATE($A$2,$A$3+$A$1-1,IU5),HolidayList[Date],1,0)))),TRUE,FALSE),FALSE)</f>
        <v>0</v>
      </c>
      <c r="IV4" s="15" t="b">
        <f>IFERROR(IF(AND(VLOOKUP(IV6,$NX$49:$NY$55,2,0)="Yes",NOT(ISNUMBER(VLOOKUP(DATE($A$2,$A$3+$A$1-1,IV5),HolidayList[Date],1,0)))),TRUE,FALSE),FALSE)</f>
        <v>0</v>
      </c>
      <c r="IW4" s="15" t="b">
        <f>IFERROR(IF(AND(VLOOKUP(IW6,$NX$49:$NY$55,2,0)="Yes",NOT(ISNUMBER(VLOOKUP(DATE($A$2,$A$3+$A$1-1,IW5),HolidayList[Date],1,0)))),TRUE,FALSE),FALSE)</f>
        <v>0</v>
      </c>
      <c r="IX4" s="15" t="b">
        <f>IFERROR(IF(AND(VLOOKUP(IX6,$NX$49:$NY$55,2,0)="Yes",NOT(ISNUMBER(VLOOKUP(DATE($A$2,$A$3+$A$1-1,IX5),HolidayList[Date],1,0)))),TRUE,FALSE),FALSE)</f>
        <v>0</v>
      </c>
      <c r="IY4" s="15" t="b">
        <f>IFERROR(IF(AND(VLOOKUP(IY6,$NX$49:$NY$55,2,0)="Yes",NOT(ISNUMBER(VLOOKUP(DATE($A$2,$A$3+$A$1-1,IY5),HolidayList[Date],1,0)))),TRUE,FALSE),FALSE)</f>
        <v>0</v>
      </c>
      <c r="IZ4" s="15" t="b">
        <f>IFERROR(IF(AND(VLOOKUP(IZ6,$NX$49:$NY$55,2,0)="Yes",NOT(ISNUMBER(VLOOKUP(DATE($A$2,$A$3+$A$1-1,IZ5),HolidayList[Date],1,0)))),TRUE,FALSE),FALSE)</f>
        <v>0</v>
      </c>
      <c r="JA4" s="15" t="b">
        <f>IFERROR(IF(AND(VLOOKUP(JA6,$NX$49:$NY$55,2,0)="Yes",NOT(ISNUMBER(VLOOKUP(DATE($A$2,$A$3+$A$1-1,JA5),HolidayList[Date],1,0)))),TRUE,FALSE),FALSE)</f>
        <v>0</v>
      </c>
      <c r="JB4" s="15" t="b">
        <f>IFERROR(IF(AND(VLOOKUP(JB6,$NX$49:$NY$55,2,0)="Yes",NOT(ISNUMBER(VLOOKUP(DATE($A$2,$A$3+$A$1-1,JB5),HolidayList[Date],1,0)))),TRUE,FALSE),FALSE)</f>
        <v>0</v>
      </c>
      <c r="JC4" s="15" t="b">
        <f>IFERROR(IF(AND(VLOOKUP(JC6,$NX$49:$NY$55,2,0)="Yes",NOT(ISNUMBER(VLOOKUP(DATE($A$2,$A$3+$A$1-1,JC5),HolidayList[Date],1,0)))),TRUE,FALSE),FALSE)</f>
        <v>0</v>
      </c>
      <c r="JD4" s="15" t="b">
        <f>IFERROR(IF(AND(VLOOKUP(JD6,$NX$49:$NY$55,2,0)="Yes",NOT(ISNUMBER(VLOOKUP(DATE($A$2,$A$3+$A$1-1,JD5),HolidayList[Date],1,0)))),TRUE,FALSE),FALSE)</f>
        <v>0</v>
      </c>
      <c r="JE4" s="15" t="b">
        <f>IFERROR(IF(AND(VLOOKUP(JE6,$NX$49:$NY$55,2,0)="Yes",NOT(ISNUMBER(VLOOKUP(DATE($A$2,$A$3+$A$1-1,JE5),HolidayList[Date],1,0)))),TRUE,FALSE),FALSE)</f>
        <v>0</v>
      </c>
      <c r="JF4" s="15" t="b">
        <f>IFERROR(IF(AND(VLOOKUP(JF6,$NX$49:$NY$55,2,0)="Yes",NOT(ISNUMBER(VLOOKUP(DATE($A$2,$A$3+$A$1-1,JF5),HolidayList[Date],1,0)))),TRUE,FALSE),FALSE)</f>
        <v>0</v>
      </c>
      <c r="JG4" s="15" t="b">
        <f>IFERROR(IF(AND(VLOOKUP(JG6,$NX$49:$NY$55,2,0)="Yes",NOT(ISNUMBER(VLOOKUP(DATE($A$2,$A$3+$A$1-1,JG5),HolidayList[Date],1,0)))),TRUE,FALSE),FALSE)</f>
        <v>0</v>
      </c>
      <c r="JH4" s="15" t="b">
        <f>IFERROR(IF(AND(VLOOKUP(JH6,$NX$49:$NY$55,2,0)="Yes",NOT(ISNUMBER(VLOOKUP(DATE($A$2,$A$3+$A$1-1,JH5),HolidayList[Date],1,0)))),TRUE,FALSE),FALSE)</f>
        <v>0</v>
      </c>
      <c r="JI4" s="15" t="b">
        <f>IFERROR(IF(AND(VLOOKUP(JI6,$NX$49:$NY$55,2,0)="Yes",NOT(ISNUMBER(VLOOKUP(DATE($A$2,$A$3+$A$1-1,JI5),HolidayList[Date],1,0)))),TRUE,FALSE),FALSE)</f>
        <v>0</v>
      </c>
      <c r="JJ4" s="15" t="b">
        <f>IFERROR(IF(AND(VLOOKUP(JJ6,$NX$49:$NY$55,2,0)="Yes",NOT(ISNUMBER(VLOOKUP(DATE($A$2,$A$3+$A$1-1,JJ5),HolidayList[Date],1,0)))),TRUE,FALSE),FALSE)</f>
        <v>0</v>
      </c>
      <c r="JK4" s="15" t="b">
        <f>IFERROR(IF(AND(VLOOKUP(JK6,$NX$49:$NY$55,2,0)="Yes",NOT(ISNUMBER(VLOOKUP(DATE($A$2,$A$3+$A$1-1,JK5),HolidayList[Date],1,0)))),TRUE,FALSE),FALSE)</f>
        <v>0</v>
      </c>
      <c r="JL4" s="15" t="b">
        <f>IFERROR(IF(AND(VLOOKUP(JL6,$NX$49:$NY$55,2,0)="Yes",NOT(ISNUMBER(VLOOKUP(DATE($A$2,$A$3+$A$1-1,JL5),HolidayList[Date],1,0)))),TRUE,FALSE),FALSE)</f>
        <v>0</v>
      </c>
      <c r="JM4" s="15" t="b">
        <f>IFERROR(IF(AND(VLOOKUP(JM6,$NX$49:$NY$55,2,0)="Yes",NOT(ISNUMBER(VLOOKUP(DATE($A$2,$A$3+$A$1-1,JM5),HolidayList[Date],1,0)))),TRUE,FALSE),FALSE)</f>
        <v>0</v>
      </c>
      <c r="JN4" s="15" t="b">
        <f>IFERROR(IF(AND(VLOOKUP(JN6,$NX$49:$NY$55,2,0)="Yes",NOT(ISNUMBER(VLOOKUP(DATE($A$2,$A$3+$A$1-1,JN5),HolidayList[Date],1,0)))),TRUE,FALSE),FALSE)</f>
        <v>0</v>
      </c>
      <c r="JO4" s="15" t="b">
        <f>IFERROR(IF(AND(VLOOKUP(JO6,$NX$49:$NY$55,2,0)="Yes",NOT(ISNUMBER(VLOOKUP(DATE($A$2,$A$3+$A$1-1,JO5),HolidayList[Date],1,0)))),TRUE,FALSE),FALSE)</f>
        <v>0</v>
      </c>
      <c r="JP4" s="15" t="b">
        <f>IFERROR(IF(AND(VLOOKUP(JP6,$NX$49:$NY$55,2,0)="Yes",NOT(ISNUMBER(VLOOKUP(DATE($A$2,$A$3+$A$1-1,JP5),HolidayList[Date],1,0)))),TRUE,FALSE),FALSE)</f>
        <v>0</v>
      </c>
      <c r="JQ4" s="15" t="b">
        <f>IFERROR(IF(AND(VLOOKUP(JQ6,$NX$49:$NY$55,2,0)="Yes",NOT(ISNUMBER(VLOOKUP(DATE($A$2,$A$3+$A$1-1,JQ5),HolidayList[Date],1,0)))),TRUE,FALSE),FALSE)</f>
        <v>0</v>
      </c>
      <c r="JR4" s="15" t="b">
        <f>IFERROR(IF(AND(VLOOKUP(JR6,$NX$49:$NY$55,2,0)="Yes",NOT(ISNUMBER(VLOOKUP(DATE($A$2,$A$3+$A$1-1,JR5),HolidayList[Date],1,0)))),TRUE,FALSE),FALSE)</f>
        <v>0</v>
      </c>
      <c r="JS4" s="15" t="b">
        <f>IFERROR(IF(AND(VLOOKUP(JS6,$NX$49:$NY$55,2,0)="Yes",NOT(ISNUMBER(VLOOKUP(DATE($A$2,$A$3+$A$1-1,JS5),HolidayList[Date],1,0)))),TRUE,FALSE),FALSE)</f>
        <v>0</v>
      </c>
      <c r="JT4" s="15" t="b">
        <f>IFERROR(IF(AND(VLOOKUP(JT6,$NX$49:$NY$55,2,0)="Yes",NOT(ISNUMBER(VLOOKUP(DATE($A$2,$A$3+$A$1-1,JT5),HolidayList[Date],1,0)))),TRUE,FALSE),FALSE)</f>
        <v>0</v>
      </c>
      <c r="JU4" s="15" t="b">
        <f>IFERROR(IF(AND(VLOOKUP(JU6,$NX$49:$NY$55,2,0)="Yes",NOT(ISNUMBER(VLOOKUP(DATE($A$2,$A$3+$A$1-1,JU5),HolidayList[Date],1,0)))),TRUE,FALSE),FALSE)</f>
        <v>0</v>
      </c>
      <c r="JV4" s="15" t="b">
        <f>IFERROR(IF(AND(VLOOKUP(JV6,$NX$49:$NY$55,2,0)="Yes",NOT(ISNUMBER(VLOOKUP(DATE($A$2,$A$3+$A$1-1,JV5),HolidayList[Date],1,0)))),TRUE,FALSE),FALSE)</f>
        <v>0</v>
      </c>
      <c r="JW4" s="15" t="b">
        <f>IFERROR(IF(AND(VLOOKUP(JW6,$NX$49:$NY$55,2,0)="Yes",NOT(ISNUMBER(VLOOKUP(DATE($A$2,$A$3+$A$1-1,JW5),HolidayList[Date],1,0)))),TRUE,FALSE),FALSE)</f>
        <v>0</v>
      </c>
      <c r="JX4" s="15" t="b">
        <f>IFERROR(IF(AND(VLOOKUP(JX6,$NX$49:$NY$55,2,0)="Yes",NOT(ISNUMBER(VLOOKUP(DATE($A$2,$A$3+$A$1-1,JX5),HolidayList[Date],1,0)))),TRUE,FALSE),FALSE)</f>
        <v>0</v>
      </c>
      <c r="JY4" s="15" t="b">
        <f>IFERROR(IF(AND(VLOOKUP(JY6,$NX$49:$NY$55,2,0)="Yes",NOT(ISNUMBER(VLOOKUP(DATE($A$2,$A$3+$A$1-1,JY5),HolidayList[Date],1,0)))),TRUE,FALSE),FALSE)</f>
        <v>0</v>
      </c>
      <c r="JZ4" s="15" t="b">
        <f>IFERROR(IF(AND(VLOOKUP(JZ6,$NX$49:$NY$55,2,0)="Yes",NOT(ISNUMBER(VLOOKUP(DATE($A$2,$A$3+$A$1-1,JZ5),HolidayList[Date],1,0)))),TRUE,FALSE),FALSE)</f>
        <v>0</v>
      </c>
      <c r="KA4" s="15" t="b">
        <f>IFERROR(IF(AND(VLOOKUP(KA6,$NX$49:$NY$55,2,0)="Yes",NOT(ISNUMBER(VLOOKUP(DATE($A$2,$A$3+$A$1-1,KA5),HolidayList[Date],1,0)))),TRUE,FALSE),FALSE)</f>
        <v>0</v>
      </c>
      <c r="KB4" s="15" t="b">
        <f>IFERROR(IF(AND(VLOOKUP(KB6,$NX$49:$NY$55,2,0)="Yes",NOT(ISNUMBER(VLOOKUP(DATE($A$2,$A$3+$A$1-1,KB5),HolidayList[Date],1,0)))),TRUE,FALSE),FALSE)</f>
        <v>0</v>
      </c>
      <c r="KC4" s="15" t="b">
        <f>IFERROR(IF(AND(VLOOKUP(KC6,$NX$49:$NY$55,2,0)="Yes",NOT(ISNUMBER(VLOOKUP(DATE($A$2,$A$3+$A$1-1,KC5),HolidayList[Date],1,0)))),TRUE,FALSE),FALSE)</f>
        <v>0</v>
      </c>
      <c r="KD4" s="15" t="b">
        <f>IFERROR(IF(AND(VLOOKUP(KD6,$NX$49:$NY$55,2,0)="Yes",NOT(ISNUMBER(VLOOKUP(DATE($A$2,$A$3+$A$1-1,KD5),HolidayList[Date],1,0)))),TRUE,FALSE),FALSE)</f>
        <v>0</v>
      </c>
      <c r="KE4" s="15" t="b">
        <f>IFERROR(IF(AND(VLOOKUP(KE6,$NX$49:$NY$55,2,0)="Yes",NOT(ISNUMBER(VLOOKUP(DATE($A$2,$A$3+$A$1-1,KE5),HolidayList[Date],1,0)))),TRUE,FALSE),FALSE)</f>
        <v>0</v>
      </c>
      <c r="KF4" s="15" t="b">
        <f>IFERROR(IF(AND(VLOOKUP(KF6,$NX$49:$NY$55,2,0)="Yes",NOT(ISNUMBER(VLOOKUP(DATE($A$2,$A$3+$A$1-1,KF5),HolidayList[Date],1,0)))),TRUE,FALSE),FALSE)</f>
        <v>0</v>
      </c>
      <c r="KG4" s="15" t="b">
        <f>IFERROR(IF(AND(VLOOKUP(KG6,$NX$49:$NY$55,2,0)="Yes",NOT(ISNUMBER(VLOOKUP(DATE($A$2,$A$3+$A$1-1,KG5),HolidayList[Date],1,0)))),TRUE,FALSE),FALSE)</f>
        <v>0</v>
      </c>
      <c r="KH4" s="15" t="b">
        <f>IFERROR(IF(AND(VLOOKUP(KH6,$NX$49:$NY$55,2,0)="Yes",NOT(ISNUMBER(VLOOKUP(DATE($A$2,$A$3+$A$1-1,KH5),HolidayList[Date],1,0)))),TRUE,FALSE),FALSE)</f>
        <v>0</v>
      </c>
      <c r="KI4" s="15" t="b">
        <f>IFERROR(IF(AND(VLOOKUP(KI6,$NX$49:$NY$55,2,0)="Yes",NOT(ISNUMBER(VLOOKUP(DATE($A$2,$A$3+$A$1-1,KI5),HolidayList[Date],1,0)))),TRUE,FALSE),FALSE)</f>
        <v>0</v>
      </c>
      <c r="KJ4" s="15" t="b">
        <f>IFERROR(IF(AND(VLOOKUP(KJ6,$NX$49:$NY$55,2,0)="Yes",NOT(ISNUMBER(VLOOKUP(DATE($A$2,$A$3+$A$1-1,KJ5),HolidayList[Date],1,0)))),TRUE,FALSE),FALSE)</f>
        <v>0</v>
      </c>
      <c r="KK4" s="15" t="b">
        <f>IFERROR(IF(AND(VLOOKUP(KK6,$NX$49:$NY$55,2,0)="Yes",NOT(ISNUMBER(VLOOKUP(DATE($A$2,$A$3+$A$1-1,KK5),HolidayList[Date],1,0)))),TRUE,FALSE),FALSE)</f>
        <v>0</v>
      </c>
      <c r="KL4" s="15" t="b">
        <f>IFERROR(IF(AND(VLOOKUP(KL6,$NX$49:$NY$55,2,0)="Yes",NOT(ISNUMBER(VLOOKUP(DATE($A$2,$A$3+$A$1-1,KL5),HolidayList[Date],1,0)))),TRUE,FALSE),FALSE)</f>
        <v>0</v>
      </c>
      <c r="KM4" s="15" t="b">
        <f>IFERROR(IF(AND(VLOOKUP(KM6,$NX$49:$NY$55,2,0)="Yes",NOT(ISNUMBER(VLOOKUP(DATE($A$2,$A$3+$A$1-1,KM5),HolidayList[Date],1,0)))),TRUE,FALSE),FALSE)</f>
        <v>0</v>
      </c>
      <c r="KN4" s="15" t="b">
        <f>IFERROR(IF(AND(VLOOKUP(KN6,$NX$49:$NY$55,2,0)="Yes",NOT(ISNUMBER(VLOOKUP(DATE($A$2,$A$3+$A$1-1,KN5),HolidayList[Date],1,0)))),TRUE,FALSE),FALSE)</f>
        <v>0</v>
      </c>
      <c r="KO4" s="15" t="b">
        <f>IFERROR(IF(AND(VLOOKUP(KO6,$NX$49:$NY$55,2,0)="Yes",NOT(ISNUMBER(VLOOKUP(DATE($A$2,$A$3+$A$1-1,KO5),HolidayList[Date],1,0)))),TRUE,FALSE),FALSE)</f>
        <v>0</v>
      </c>
      <c r="KP4" s="15" t="b">
        <f>IFERROR(IF(AND(VLOOKUP(KP6,$NX$49:$NY$55,2,0)="Yes",NOT(ISNUMBER(VLOOKUP(DATE($A$2,$A$3+$A$1-1,KP5),HolidayList[Date],1,0)))),TRUE,FALSE),FALSE)</f>
        <v>0</v>
      </c>
      <c r="KQ4" s="15" t="b">
        <f>IFERROR(IF(AND(VLOOKUP(KQ6,$NX$49:$NY$55,2,0)="Yes",NOT(ISNUMBER(VLOOKUP(DATE($A$2,$A$3+$A$1-1,KQ5),HolidayList[Date],1,0)))),TRUE,FALSE),FALSE)</f>
        <v>0</v>
      </c>
      <c r="KR4" s="15" t="b">
        <f>IFERROR(IF(AND(VLOOKUP(KR6,$NX$49:$NY$55,2,0)="Yes",NOT(ISNUMBER(VLOOKUP(DATE($A$2,$A$3+$A$1-1,KR5),HolidayList[Date],1,0)))),TRUE,FALSE),FALSE)</f>
        <v>0</v>
      </c>
      <c r="KS4" s="15" t="b">
        <f>IFERROR(IF(AND(VLOOKUP(KS6,$NX$49:$NY$55,2,0)="Yes",NOT(ISNUMBER(VLOOKUP(DATE($A$2,$A$3+$A$1-1,KS5),HolidayList[Date],1,0)))),TRUE,FALSE),FALSE)</f>
        <v>0</v>
      </c>
      <c r="KT4" s="15" t="b">
        <f>IFERROR(IF(AND(VLOOKUP(KT6,$NX$49:$NY$55,2,0)="Yes",NOT(ISNUMBER(VLOOKUP(DATE($A$2,$A$3+$A$1-1,KT5),HolidayList[Date],1,0)))),TRUE,FALSE),FALSE)</f>
        <v>0</v>
      </c>
      <c r="KU4" s="15" t="b">
        <f>IFERROR(IF(AND(VLOOKUP(KU6,$NX$49:$NY$55,2,0)="Yes",NOT(ISNUMBER(VLOOKUP(DATE($A$2,$A$3+$A$1-1,KU5),HolidayList[Date],1,0)))),TRUE,FALSE),FALSE)</f>
        <v>0</v>
      </c>
      <c r="KV4" s="37" t="b">
        <f>IFERROR(IF(AND(VLOOKUP(KV6,$NX$49:$NY$55,2,0)="Yes",NOT(ISNUMBER(VLOOKUP(DATE($A$2,$A$3+$A$1-1,KV5),HolidayList[Date],1,0)))),TRUE,FALSE),FALSE)</f>
        <v>0</v>
      </c>
      <c r="KW4" s="15" t="b">
        <f>IFERROR(IF(AND(VLOOKUP(KW6,$NX$49:$NY$55,2,0)="Yes",NOT(ISNUMBER(VLOOKUP(DATE($A$2,$A$3+$A$1-1,KW5),HolidayList[Date],1,0)))),TRUE,FALSE),FALSE)</f>
        <v>0</v>
      </c>
      <c r="KX4" s="15" t="b">
        <f>IFERROR(IF(AND(VLOOKUP(KX6,$NX$49:$NY$55,2,0)="Yes",NOT(ISNUMBER(VLOOKUP(DATE($A$2,$A$3+$A$1-1,KX5),HolidayList[Date],1,0)))),TRUE,FALSE),FALSE)</f>
        <v>0</v>
      </c>
      <c r="KY4" s="15" t="b">
        <f>IFERROR(IF(AND(VLOOKUP(KY6,$NX$49:$NY$55,2,0)="Yes",NOT(ISNUMBER(VLOOKUP(DATE($A$2,$A$3+$A$1-1,KY5),HolidayList[Date],1,0)))),TRUE,FALSE),FALSE)</f>
        <v>0</v>
      </c>
      <c r="KZ4" s="15" t="b">
        <f>IFERROR(IF(AND(VLOOKUP(KZ6,$NX$49:$NY$55,2,0)="Yes",NOT(ISNUMBER(VLOOKUP(DATE($A$2,$A$3+$A$1-1,KZ5),HolidayList[Date],1,0)))),TRUE,FALSE),FALSE)</f>
        <v>0</v>
      </c>
      <c r="LA4" s="15" t="b">
        <f>IFERROR(IF(AND(VLOOKUP(LA6,$NX$49:$NY$55,2,0)="Yes",NOT(ISNUMBER(VLOOKUP(DATE($A$2,$A$3+$A$1-1,LA5),HolidayList[Date],1,0)))),TRUE,FALSE),FALSE)</f>
        <v>0</v>
      </c>
      <c r="LB4" s="15" t="b">
        <f>IFERROR(IF(AND(VLOOKUP(LB6,$NX$49:$NY$55,2,0)="Yes",NOT(ISNUMBER(VLOOKUP(DATE($A$2,$A$3+$A$1-1,LB5),HolidayList[Date],1,0)))),TRUE,FALSE),FALSE)</f>
        <v>0</v>
      </c>
      <c r="LC4" s="15" t="b">
        <f>IFERROR(IF(AND(VLOOKUP(LC6,$NX$49:$NY$55,2,0)="Yes",NOT(ISNUMBER(VLOOKUP(DATE($A$2,$A$3+$A$1-1,LC5),HolidayList[Date],1,0)))),TRUE,FALSE),FALSE)</f>
        <v>0</v>
      </c>
      <c r="LD4" s="15" t="b">
        <f>IFERROR(IF(AND(VLOOKUP(LD6,$NX$49:$NY$55,2,0)="Yes",NOT(ISNUMBER(VLOOKUP(DATE($A$2,$A$3+$A$1-1,LD5),HolidayList[Date],1,0)))),TRUE,FALSE),FALSE)</f>
        <v>0</v>
      </c>
      <c r="LE4" s="15" t="b">
        <f>IFERROR(IF(AND(VLOOKUP(LE6,$NX$49:$NY$55,2,0)="Yes",NOT(ISNUMBER(VLOOKUP(DATE($A$2,$A$3+$A$1-1,LE5),HolidayList[Date],1,0)))),TRUE,FALSE),FALSE)</f>
        <v>0</v>
      </c>
      <c r="LF4" s="15" t="b">
        <f>IFERROR(IF(AND(VLOOKUP(LF6,$NX$49:$NY$55,2,0)="Yes",NOT(ISNUMBER(VLOOKUP(DATE($A$2,$A$3+$A$1-1,LF5),HolidayList[Date],1,0)))),TRUE,FALSE),FALSE)</f>
        <v>0</v>
      </c>
      <c r="LG4" s="15" t="b">
        <f>IFERROR(IF(AND(VLOOKUP(LG6,$NX$49:$NY$55,2,0)="Yes",NOT(ISNUMBER(VLOOKUP(DATE($A$2,$A$3+$A$1-1,LG5),HolidayList[Date],1,0)))),TRUE,FALSE),FALSE)</f>
        <v>0</v>
      </c>
      <c r="LH4" s="15" t="b">
        <f>IFERROR(IF(AND(VLOOKUP(LH6,$NX$49:$NY$55,2,0)="Yes",NOT(ISNUMBER(VLOOKUP(DATE($A$2,$A$3+$A$1-1,LH5),HolidayList[Date],1,0)))),TRUE,FALSE),FALSE)</f>
        <v>0</v>
      </c>
      <c r="LI4" s="15" t="b">
        <f>IFERROR(IF(AND(VLOOKUP(LI6,$NX$49:$NY$55,2,0)="Yes",NOT(ISNUMBER(VLOOKUP(DATE($A$2,$A$3+$A$1-1,LI5),HolidayList[Date],1,0)))),TRUE,FALSE),FALSE)</f>
        <v>0</v>
      </c>
      <c r="LJ4" s="15" t="b">
        <f>IFERROR(IF(AND(VLOOKUP(LJ6,$NX$49:$NY$55,2,0)="Yes",NOT(ISNUMBER(VLOOKUP(DATE($A$2,$A$3+$A$1-1,LJ5),HolidayList[Date],1,0)))),TRUE,FALSE),FALSE)</f>
        <v>0</v>
      </c>
      <c r="LK4" s="15" t="b">
        <f>IFERROR(IF(AND(VLOOKUP(LK6,$NX$49:$NY$55,2,0)="Yes",NOT(ISNUMBER(VLOOKUP(DATE($A$2,$A$3+$A$1-1,LK5),HolidayList[Date],1,0)))),TRUE,FALSE),FALSE)</f>
        <v>0</v>
      </c>
      <c r="LL4" s="15" t="b">
        <f>IFERROR(IF(AND(VLOOKUP(LL6,$NX$49:$NY$55,2,0)="Yes",NOT(ISNUMBER(VLOOKUP(DATE($A$2,$A$3+$A$1-1,LL5),HolidayList[Date],1,0)))),TRUE,FALSE),FALSE)</f>
        <v>0</v>
      </c>
      <c r="LM4" s="15" t="b">
        <f>IFERROR(IF(AND(VLOOKUP(LM6,$NX$49:$NY$55,2,0)="Yes",NOT(ISNUMBER(VLOOKUP(DATE($A$2,$A$3+$A$1-1,LM5),HolidayList[Date],1,0)))),TRUE,FALSE),FALSE)</f>
        <v>0</v>
      </c>
      <c r="LN4" s="15" t="b">
        <f>IFERROR(IF(AND(VLOOKUP(LN6,$NX$49:$NY$55,2,0)="Yes",NOT(ISNUMBER(VLOOKUP(DATE($A$2,$A$3+$A$1-1,LN5),HolidayList[Date],1,0)))),TRUE,FALSE),FALSE)</f>
        <v>0</v>
      </c>
      <c r="LO4" s="15" t="b">
        <f>IFERROR(IF(AND(VLOOKUP(LO6,$NX$49:$NY$55,2,0)="Yes",NOT(ISNUMBER(VLOOKUP(DATE($A$2,$A$3+$A$1-1,LO5),HolidayList[Date],1,0)))),TRUE,FALSE),FALSE)</f>
        <v>0</v>
      </c>
      <c r="LP4" s="15" t="b">
        <f>IFERROR(IF(AND(VLOOKUP(LP6,$NX$49:$NY$55,2,0)="Yes",NOT(ISNUMBER(VLOOKUP(DATE($A$2,$A$3+$A$1-1,LP5),HolidayList[Date],1,0)))),TRUE,FALSE),FALSE)</f>
        <v>0</v>
      </c>
      <c r="LQ4" s="15" t="b">
        <f>IFERROR(IF(AND(VLOOKUP(LQ6,$NX$49:$NY$55,2,0)="Yes",NOT(ISNUMBER(VLOOKUP(DATE($A$2,$A$3+$A$1-1,LQ5),HolidayList[Date],1,0)))),TRUE,FALSE),FALSE)</f>
        <v>0</v>
      </c>
      <c r="LR4" s="15" t="b">
        <f>IFERROR(IF(AND(VLOOKUP(LR6,$NX$49:$NY$55,2,0)="Yes",NOT(ISNUMBER(VLOOKUP(DATE($A$2,$A$3+$A$1-1,LR5),HolidayList[Date],1,0)))),TRUE,FALSE),FALSE)</f>
        <v>0</v>
      </c>
      <c r="LS4" s="15" t="b">
        <f>IFERROR(IF(AND(VLOOKUP(LS6,$NX$49:$NY$55,2,0)="Yes",NOT(ISNUMBER(VLOOKUP(DATE($A$2,$A$3+$A$1-1,LS5),HolidayList[Date],1,0)))),TRUE,FALSE),FALSE)</f>
        <v>0</v>
      </c>
      <c r="LT4" s="15" t="b">
        <f>IFERROR(IF(AND(VLOOKUP(LT6,$NX$49:$NY$55,2,0)="Yes",NOT(ISNUMBER(VLOOKUP(DATE($A$2,$A$3+$A$1-1,LT5),HolidayList[Date],1,0)))),TRUE,FALSE),FALSE)</f>
        <v>0</v>
      </c>
      <c r="LU4" s="15" t="b">
        <f>IFERROR(IF(AND(VLOOKUP(LU6,$NX$49:$NY$55,2,0)="Yes",NOT(ISNUMBER(VLOOKUP(DATE($A$2,$A$3+$A$1-1,LU5),HolidayList[Date],1,0)))),TRUE,FALSE),FALSE)</f>
        <v>0</v>
      </c>
      <c r="LV4" s="15" t="b">
        <f>IFERROR(IF(AND(VLOOKUP(LV6,$NX$49:$NY$55,2,0)="Yes",NOT(ISNUMBER(VLOOKUP(DATE($A$2,$A$3+$A$1-1,LV5),HolidayList[Date],1,0)))),TRUE,FALSE),FALSE)</f>
        <v>0</v>
      </c>
      <c r="LW4" s="15" t="b">
        <f>IFERROR(IF(AND(VLOOKUP(LW6,$NX$49:$NY$55,2,0)="Yes",NOT(ISNUMBER(VLOOKUP(DATE($A$2,$A$3+$A$1-1,LW5),HolidayList[Date],1,0)))),TRUE,FALSE),FALSE)</f>
        <v>0</v>
      </c>
      <c r="LX4" s="15" t="b">
        <f>IFERROR(IF(AND(VLOOKUP(LX6,$NX$49:$NY$55,2,0)="Yes",NOT(ISNUMBER(VLOOKUP(DATE($A$2,$A$3+$A$1-1,LX5),HolidayList[Date],1,0)))),TRUE,FALSE),FALSE)</f>
        <v>0</v>
      </c>
      <c r="LY4" s="15" t="b">
        <f>IFERROR(IF(AND(VLOOKUP(LY6,$NX$49:$NY$55,2,0)="Yes",NOT(ISNUMBER(VLOOKUP(DATE($A$2,$A$3+$A$1-1,LY5),HolidayList[Date],1,0)))),TRUE,FALSE),FALSE)</f>
        <v>0</v>
      </c>
      <c r="LZ4" s="15" t="b">
        <f>IFERROR(IF(AND(VLOOKUP(LZ6,$NX$49:$NY$55,2,0)="Yes",NOT(ISNUMBER(VLOOKUP(DATE($A$2,$A$3+$A$1-1,LZ5),HolidayList[Date],1,0)))),TRUE,FALSE),FALSE)</f>
        <v>0</v>
      </c>
      <c r="MA4" s="15" t="b">
        <f>IFERROR(IF(AND(VLOOKUP(MA6,$NX$49:$NY$55,2,0)="Yes",NOT(ISNUMBER(VLOOKUP(DATE($A$2,$A$3+$A$1-1,MA5),HolidayList[Date],1,0)))),TRUE,FALSE),FALSE)</f>
        <v>0</v>
      </c>
      <c r="MB4" s="15" t="b">
        <f>IFERROR(IF(AND(VLOOKUP(MB6,$NX$49:$NY$55,2,0)="Yes",NOT(ISNUMBER(VLOOKUP(DATE($A$2,$A$3+$A$1-1,MB5),HolidayList[Date],1,0)))),TRUE,FALSE),FALSE)</f>
        <v>0</v>
      </c>
      <c r="MC4" s="15" t="b">
        <f>IFERROR(IF(AND(VLOOKUP(MC6,$NX$49:$NY$55,2,0)="Yes",NOT(ISNUMBER(VLOOKUP(DATE($A$2,$A$3+$A$1-1,MC5),HolidayList[Date],1,0)))),TRUE,FALSE),FALSE)</f>
        <v>0</v>
      </c>
      <c r="MD4" s="15" t="b">
        <f>IFERROR(IF(AND(VLOOKUP(MD6,$NX$49:$NY$55,2,0)="Yes",NOT(ISNUMBER(VLOOKUP(DATE($A$2,$A$3+$A$1-1,MD5),HolidayList[Date],1,0)))),TRUE,FALSE),FALSE)</f>
        <v>0</v>
      </c>
      <c r="ME4" s="15" t="b">
        <f>IFERROR(IF(AND(VLOOKUP(ME6,$NX$49:$NY$55,2,0)="Yes",NOT(ISNUMBER(VLOOKUP(DATE($A$2,$A$3+$A$1-1,ME5),HolidayList[Date],1,0)))),TRUE,FALSE),FALSE)</f>
        <v>0</v>
      </c>
      <c r="MF4" s="15" t="b">
        <f>IFERROR(IF(AND(VLOOKUP(MF6,$NX$49:$NY$55,2,0)="Yes",NOT(ISNUMBER(VLOOKUP(DATE($A$2,$A$3+$A$1-1,MF5),HolidayList[Date],1,0)))),TRUE,FALSE),FALSE)</f>
        <v>0</v>
      </c>
      <c r="MG4" s="15" t="b">
        <f>IFERROR(IF(AND(VLOOKUP(MG6,$NX$49:$NY$55,2,0)="Yes",NOT(ISNUMBER(VLOOKUP(DATE($A$2,$A$3+$A$1-1,MG5),HolidayList[Date],1,0)))),TRUE,FALSE),FALSE)</f>
        <v>0</v>
      </c>
      <c r="MH4" s="15" t="b">
        <f>IFERROR(IF(AND(VLOOKUP(MH6,$NX$49:$NY$55,2,0)="Yes",NOT(ISNUMBER(VLOOKUP(DATE($A$2,$A$3+$A$1-1,MH5),HolidayList[Date],1,0)))),TRUE,FALSE),FALSE)</f>
        <v>0</v>
      </c>
      <c r="MI4" s="15" t="b">
        <f>IFERROR(IF(AND(VLOOKUP(MI6,$NX$49:$NY$55,2,0)="Yes",NOT(ISNUMBER(VLOOKUP(DATE($A$2,$A$3+$A$1-1,MI5),HolidayList[Date],1,0)))),TRUE,FALSE),FALSE)</f>
        <v>0</v>
      </c>
      <c r="MJ4" s="15" t="b">
        <f>IFERROR(IF(AND(VLOOKUP(MJ6,$NX$49:$NY$55,2,0)="Yes",NOT(ISNUMBER(VLOOKUP(DATE($A$2,$A$3+$A$1-1,MJ5),HolidayList[Date],1,0)))),TRUE,FALSE),FALSE)</f>
        <v>0</v>
      </c>
      <c r="MK4" s="15" t="b">
        <f>IFERROR(IF(AND(VLOOKUP(MK6,$NX$49:$NY$55,2,0)="Yes",NOT(ISNUMBER(VLOOKUP(DATE($A$2,$A$3+$A$1-1,MK5),HolidayList[Date],1,0)))),TRUE,FALSE),FALSE)</f>
        <v>0</v>
      </c>
      <c r="ML4" s="15" t="b">
        <f>IFERROR(IF(AND(VLOOKUP(ML6,$NX$49:$NY$55,2,0)="Yes",NOT(ISNUMBER(VLOOKUP(DATE($A$2,$A$3+$A$1-1,ML5),HolidayList[Date],1,0)))),TRUE,FALSE),FALSE)</f>
        <v>0</v>
      </c>
      <c r="MM4" s="15" t="b">
        <f>IFERROR(IF(AND(VLOOKUP(MM6,$NX$49:$NY$55,2,0)="Yes",NOT(ISNUMBER(VLOOKUP(DATE($A$2,$A$3+$A$1-1,MM5),HolidayList[Date],1,0)))),TRUE,FALSE),FALSE)</f>
        <v>0</v>
      </c>
      <c r="MN4" s="15" t="b">
        <f>IFERROR(IF(AND(VLOOKUP(MN6,$NX$49:$NY$55,2,0)="Yes",NOT(ISNUMBER(VLOOKUP(DATE($A$2,$A$3+$A$1-1,MN5),HolidayList[Date],1,0)))),TRUE,FALSE),FALSE)</f>
        <v>0</v>
      </c>
      <c r="MO4" s="15" t="b">
        <f>IFERROR(IF(AND(VLOOKUP(MO6,$NX$49:$NY$55,2,0)="Yes",NOT(ISNUMBER(VLOOKUP(DATE($A$2,$A$3+$A$1-1,MO5),HolidayList[Date],1,0)))),TRUE,FALSE),FALSE)</f>
        <v>0</v>
      </c>
      <c r="MP4" s="15" t="b">
        <f>IFERROR(IF(AND(VLOOKUP(MP6,$NX$49:$NY$55,2,0)="Yes",NOT(ISNUMBER(VLOOKUP(DATE($A$2,$A$3+$A$1-1,MP5),HolidayList[Date],1,0)))),TRUE,FALSE),FALSE)</f>
        <v>0</v>
      </c>
      <c r="MQ4" s="15" t="b">
        <f>IFERROR(IF(AND(VLOOKUP(MQ6,$NX$49:$NY$55,2,0)="Yes",NOT(ISNUMBER(VLOOKUP(DATE($A$2,$A$3+$A$1-1,MQ5),HolidayList[Date],1,0)))),TRUE,FALSE),FALSE)</f>
        <v>0</v>
      </c>
      <c r="MR4" s="15" t="b">
        <f>IFERROR(IF(AND(VLOOKUP(MR6,$NX$49:$NY$55,2,0)="Yes",NOT(ISNUMBER(VLOOKUP(DATE($A$2,$A$3+$A$1-1,MR5),HolidayList[Date],1,0)))),TRUE,FALSE),FALSE)</f>
        <v>0</v>
      </c>
      <c r="MS4" s="15" t="b">
        <f>IFERROR(IF(AND(VLOOKUP(MS6,$NX$49:$NY$55,2,0)="Yes",NOT(ISNUMBER(VLOOKUP(DATE($A$2,$A$3+$A$1-1,MS5),HolidayList[Date],1,0)))),TRUE,FALSE),FALSE)</f>
        <v>0</v>
      </c>
      <c r="MT4" s="15" t="b">
        <f>IFERROR(IF(AND(VLOOKUP(MT6,$NX$49:$NY$55,2,0)="Yes",NOT(ISNUMBER(VLOOKUP(DATE($A$2,$A$3+$A$1-1,MT5),HolidayList[Date],1,0)))),TRUE,FALSE),FALSE)</f>
        <v>0</v>
      </c>
      <c r="MU4" s="15" t="b">
        <f>IFERROR(IF(AND(VLOOKUP(MU6,$NX$49:$NY$55,2,0)="Yes",NOT(ISNUMBER(VLOOKUP(DATE($A$2,$A$3+$A$1-1,MU5),HolidayList[Date],1,0)))),TRUE,FALSE),FALSE)</f>
        <v>0</v>
      </c>
      <c r="MV4" s="15" t="b">
        <f>IFERROR(IF(AND(VLOOKUP(MV6,$NX$49:$NY$55,2,0)="Yes",NOT(ISNUMBER(VLOOKUP(DATE($A$2,$A$3+$A$1-1,MV5),HolidayList[Date],1,0)))),TRUE,FALSE),FALSE)</f>
        <v>0</v>
      </c>
      <c r="MW4" s="15" t="b">
        <f>IFERROR(IF(AND(VLOOKUP(MW6,$NX$49:$NY$55,2,0)="Yes",NOT(ISNUMBER(VLOOKUP(DATE($A$2,$A$3+$A$1-1,MW5),HolidayList[Date],1,0)))),TRUE,FALSE),FALSE)</f>
        <v>0</v>
      </c>
      <c r="MX4" s="15" t="b">
        <f>IFERROR(IF(AND(VLOOKUP(MX6,$NX$49:$NY$55,2,0)="Yes",NOT(ISNUMBER(VLOOKUP(DATE($A$2,$A$3+$A$1-1,MX5),HolidayList[Date],1,0)))),TRUE,FALSE),FALSE)</f>
        <v>0</v>
      </c>
      <c r="MY4" s="15" t="b">
        <f>IFERROR(IF(AND(VLOOKUP(MY6,$NX$49:$NY$55,2,0)="Yes",NOT(ISNUMBER(VLOOKUP(DATE($A$2,$A$3+$A$1-1,MY5),HolidayList[Date],1,0)))),TRUE,FALSE),FALSE)</f>
        <v>0</v>
      </c>
      <c r="MZ4" s="15" t="b">
        <f>IFERROR(IF(AND(VLOOKUP(MZ6,$NX$49:$NY$55,2,0)="Yes",NOT(ISNUMBER(VLOOKUP(DATE($A$2,$A$3+$A$1-1,MZ5),HolidayList[Date],1,0)))),TRUE,FALSE),FALSE)</f>
        <v>0</v>
      </c>
      <c r="NA4" s="15" t="b">
        <f>IFERROR(IF(AND(VLOOKUP(NA6,$NX$49:$NY$55,2,0)="Yes",NOT(ISNUMBER(VLOOKUP(DATE($A$2,$A$3+$A$1-1,NA5),HolidayList[Date],1,0)))),TRUE,FALSE),FALSE)</f>
        <v>0</v>
      </c>
      <c r="NB4" s="15" t="b">
        <f>IFERROR(IF(AND(VLOOKUP(NB6,$NX$49:$NY$55,2,0)="Yes",NOT(ISNUMBER(VLOOKUP(DATE($A$2,$A$3+$A$1-1,NB5),HolidayList[Date],1,0)))),TRUE,FALSE),FALSE)</f>
        <v>0</v>
      </c>
      <c r="NC4" s="15" t="b">
        <f>IFERROR(IF(AND(VLOOKUP(NC6,$NX$49:$NY$55,2,0)="Yes",NOT(ISNUMBER(VLOOKUP(DATE($A$2,$A$3+$A$1-1,NC5),HolidayList[Date],1,0)))),TRUE,FALSE),FALSE)</f>
        <v>0</v>
      </c>
      <c r="ND4" s="15" t="b">
        <f>IFERROR(IF(AND(VLOOKUP(ND6,$NX$49:$NY$55,2,0)="Yes",NOT(ISNUMBER(VLOOKUP(DATE($A$2,$A$3+$A$1-1,ND5),HolidayList[Date],1,0)))),TRUE,FALSE),FALSE)</f>
        <v>0</v>
      </c>
      <c r="NE4" s="15" t="b">
        <f>IFERROR(IF(AND(VLOOKUP(NE6,$NX$49:$NY$55,2,0)="Yes",NOT(ISNUMBER(VLOOKUP(DATE($A$2,$A$3+$A$1-1,NE5),HolidayList[Date],1,0)))),TRUE,FALSE),FALSE)</f>
        <v>0</v>
      </c>
      <c r="NF4" s="15" t="b">
        <f>IFERROR(IF(AND(VLOOKUP(NF6,$NX$49:$NY$55,2,0)="Yes",NOT(ISNUMBER(VLOOKUP(DATE($A$2,$A$3+$A$1-1,NF5),HolidayList[Date],1,0)))),TRUE,FALSE),FALSE)</f>
        <v>0</v>
      </c>
      <c r="NG4" s="15" t="b">
        <f>IFERROR(IF(AND(VLOOKUP(NG6,$NX$49:$NY$55,2,0)="Yes",NOT(ISNUMBER(VLOOKUP(DATE($A$2,$A$3+$A$1-1,NG5),HolidayList[Date],1,0)))),TRUE,FALSE),FALSE)</f>
        <v>0</v>
      </c>
      <c r="NH4" s="15" t="b">
        <f>IFERROR(IF(AND(VLOOKUP(NH6,$NX$49:$NY$55,2,0)="Yes",NOT(ISNUMBER(VLOOKUP(DATE($A$2,$A$3+$A$1-1,NH5),HolidayList[Date],1,0)))),TRUE,FALSE),FALSE)</f>
        <v>0</v>
      </c>
      <c r="NI4" s="15" t="b">
        <f>IFERROR(IF(AND(VLOOKUP(NI6,$NX$49:$NY$55,2,0)="Yes",NOT(ISNUMBER(VLOOKUP(DATE($A$2,$A$3+$A$1-1,NI5),HolidayList[Date],1,0)))),TRUE,FALSE),FALSE)</f>
        <v>0</v>
      </c>
      <c r="NL4" s="25" t="s">
        <v>3</v>
      </c>
      <c r="NM4" s="25"/>
      <c r="NN4" s="25"/>
      <c r="NO4" s="25"/>
      <c r="NP4" s="25"/>
      <c r="NQ4" s="26"/>
      <c r="NR4" s="26"/>
      <c r="NS4" s="26"/>
      <c r="NT4" s="26"/>
      <c r="NU4" s="26"/>
      <c r="NV4" s="63"/>
    </row>
    <row r="5" spans="1:762">
      <c r="A5" s="1"/>
      <c r="B5" s="6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6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6" t="str">
        <f t="shared" si="0"/>
        <v/>
      </c>
      <c r="E5" s="6" t="str">
        <f t="shared" si="0"/>
        <v/>
      </c>
      <c r="F5" s="6" t="str">
        <f t="shared" si="0"/>
        <v/>
      </c>
      <c r="G5" s="6" t="str">
        <f t="shared" si="0"/>
        <v/>
      </c>
      <c r="H5" s="6" t="str">
        <f t="shared" si="0"/>
        <v/>
      </c>
      <c r="I5" s="6" t="str">
        <f t="shared" si="0"/>
        <v/>
      </c>
      <c r="J5" s="6" t="str">
        <f t="shared" si="0"/>
        <v/>
      </c>
      <c r="K5" s="6" t="str">
        <f t="shared" si="0"/>
        <v/>
      </c>
      <c r="L5" s="6" t="str">
        <f t="shared" si="0"/>
        <v/>
      </c>
      <c r="M5" s="6" t="str">
        <f t="shared" si="0"/>
        <v/>
      </c>
      <c r="N5" s="6" t="str">
        <f t="shared" si="0"/>
        <v/>
      </c>
      <c r="O5" s="6" t="str">
        <f t="shared" si="0"/>
        <v/>
      </c>
      <c r="P5" s="6" t="str">
        <f t="shared" si="0"/>
        <v/>
      </c>
      <c r="Q5" s="6" t="str">
        <f t="shared" si="0"/>
        <v/>
      </c>
      <c r="R5" s="6" t="str">
        <f t="shared" si="0"/>
        <v/>
      </c>
      <c r="S5" s="6" t="str">
        <f t="shared" si="0"/>
        <v/>
      </c>
      <c r="T5" s="6" t="str">
        <f t="shared" si="0"/>
        <v/>
      </c>
      <c r="U5" s="6" t="str">
        <f t="shared" si="0"/>
        <v/>
      </c>
      <c r="V5" s="6" t="str">
        <f t="shared" si="0"/>
        <v/>
      </c>
      <c r="W5" s="6" t="str">
        <f t="shared" si="0"/>
        <v/>
      </c>
      <c r="X5" s="6" t="str">
        <f t="shared" si="0"/>
        <v/>
      </c>
      <c r="Y5" s="6" t="str">
        <f t="shared" si="0"/>
        <v/>
      </c>
      <c r="Z5" s="6" t="str">
        <f t="shared" si="0"/>
        <v/>
      </c>
      <c r="AA5" s="6" t="str">
        <f t="shared" si="0"/>
        <v/>
      </c>
      <c r="AB5" s="6" t="str">
        <f t="shared" si="0"/>
        <v/>
      </c>
      <c r="AC5" s="6" t="str">
        <f t="shared" si="0"/>
        <v/>
      </c>
      <c r="AD5" s="6" t="str">
        <f t="shared" si="0"/>
        <v/>
      </c>
      <c r="AE5" s="6" t="str">
        <f t="shared" si="0"/>
        <v/>
      </c>
      <c r="AF5" s="6" t="str">
        <f t="shared" si="0"/>
        <v/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>
        <f t="shared" si="1"/>
        <v>1</v>
      </c>
      <c r="DW5" s="6">
        <f t="shared" si="1"/>
        <v>2</v>
      </c>
      <c r="DX5" s="6">
        <f t="shared" si="1"/>
        <v>3</v>
      </c>
      <c r="DY5" s="6">
        <f t="shared" si="1"/>
        <v>4</v>
      </c>
      <c r="DZ5" s="6">
        <f t="shared" si="1"/>
        <v>5</v>
      </c>
      <c r="EA5" s="6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6</v>
      </c>
      <c r="EB5" s="6">
        <f t="shared" si="2"/>
        <v>7</v>
      </c>
      <c r="EC5" s="6">
        <f t="shared" si="2"/>
        <v>8</v>
      </c>
      <c r="ED5" s="6">
        <f t="shared" si="2"/>
        <v>9</v>
      </c>
      <c r="EE5" s="6">
        <f t="shared" si="2"/>
        <v>10</v>
      </c>
      <c r="EF5" s="6">
        <f t="shared" si="2"/>
        <v>11</v>
      </c>
      <c r="EG5" s="6">
        <f t="shared" si="2"/>
        <v>12</v>
      </c>
      <c r="EH5" s="6">
        <f t="shared" si="2"/>
        <v>13</v>
      </c>
      <c r="EI5" s="6">
        <f t="shared" si="2"/>
        <v>14</v>
      </c>
      <c r="EJ5" s="6">
        <f t="shared" si="2"/>
        <v>15</v>
      </c>
      <c r="EK5" s="6">
        <f t="shared" si="2"/>
        <v>16</v>
      </c>
      <c r="EL5" s="6">
        <f t="shared" si="2"/>
        <v>17</v>
      </c>
      <c r="EM5" s="6">
        <f t="shared" si="2"/>
        <v>18</v>
      </c>
      <c r="EN5" s="6">
        <f t="shared" si="2"/>
        <v>19</v>
      </c>
      <c r="EO5" s="6">
        <f t="shared" si="2"/>
        <v>20</v>
      </c>
      <c r="EP5" s="6">
        <f t="shared" si="2"/>
        <v>21</v>
      </c>
      <c r="EQ5" s="6">
        <f t="shared" si="2"/>
        <v>22</v>
      </c>
      <c r="ER5" s="6">
        <f t="shared" si="2"/>
        <v>23</v>
      </c>
      <c r="ES5" s="6">
        <f t="shared" si="2"/>
        <v>24</v>
      </c>
      <c r="ET5" s="6">
        <f t="shared" si="2"/>
        <v>25</v>
      </c>
      <c r="EU5" s="6">
        <f t="shared" si="2"/>
        <v>26</v>
      </c>
      <c r="EV5" s="6">
        <f t="shared" si="2"/>
        <v>27</v>
      </c>
      <c r="EW5" s="6">
        <f t="shared" si="2"/>
        <v>28</v>
      </c>
      <c r="EX5" s="6">
        <f t="shared" si="2"/>
        <v>29</v>
      </c>
      <c r="EY5" s="6">
        <f t="shared" si="2"/>
        <v>30</v>
      </c>
      <c r="EZ5" s="6">
        <f t="shared" si="2"/>
        <v>31</v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65" t="s">
        <v>4</v>
      </c>
      <c r="NK5" s="67" t="s">
        <v>5</v>
      </c>
      <c r="NL5" s="69" t="s">
        <v>6</v>
      </c>
      <c r="NM5" s="69" t="s">
        <v>7</v>
      </c>
      <c r="NN5" s="69" t="s">
        <v>8</v>
      </c>
      <c r="NO5" s="69" t="s">
        <v>9</v>
      </c>
      <c r="NP5" s="71" t="s">
        <v>10</v>
      </c>
      <c r="NQ5" s="71" t="s">
        <v>11</v>
      </c>
      <c r="NR5" s="71" t="s">
        <v>12</v>
      </c>
      <c r="NS5" s="71" t="s">
        <v>13</v>
      </c>
      <c r="NT5" s="71" t="s">
        <v>14</v>
      </c>
      <c r="NU5" s="72" t="s">
        <v>15</v>
      </c>
      <c r="NV5" s="63"/>
    </row>
    <row r="6" spans="1:762">
      <c r="A6" s="3" t="s">
        <v>16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>Fri</v>
      </c>
      <c r="DW6" s="8" t="str">
        <f>IF(DW$5="","",VLOOKUP(WEEKDAY(DATE($A$2,$A$3+$A$1-1,DW5),2),Sheet3!$D$1:$E$7,2,0))</f>
        <v>Sat</v>
      </c>
      <c r="DX6" s="8" t="str">
        <f>IF(DX$5="","",VLOOKUP(WEEKDAY(DATE($A$2,$A$3+$A$1-1,DX5),2),Sheet3!$D$1:$E$7,2,0))</f>
        <v>Sun</v>
      </c>
      <c r="DY6" s="8" t="str">
        <f>IF(DY$5="","",VLOOKUP(WEEKDAY(DATE($A$2,$A$3+$A$1-1,DY5),2),Sheet3!$D$1:$E$7,2,0))</f>
        <v>Mon</v>
      </c>
      <c r="DZ6" s="8" t="str">
        <f>IF(DZ$5="","",VLOOKUP(WEEKDAY(DATE($A$2,$A$3+$A$1-1,DZ5),2),Sheet3!$D$1:$E$7,2,0))</f>
        <v>Tue</v>
      </c>
      <c r="EA6" s="8" t="str">
        <f>IF(EA$5="","",VLOOKUP(WEEKDAY(DATE($A$2,$A$3+$A$1-1,EA5),2),Sheet3!$D$1:$E$7,2,0))</f>
        <v>Wed</v>
      </c>
      <c r="EB6" s="8" t="str">
        <f>IF(EB$5="","",VLOOKUP(WEEKDAY(DATE($A$2,$A$3+$A$1-1,EB5),2),Sheet3!$D$1:$E$7,2,0))</f>
        <v>Thu</v>
      </c>
      <c r="EC6" s="8" t="str">
        <f>IF(EC$5="","",VLOOKUP(WEEKDAY(DATE($A$2,$A$3+$A$1-1,EC5),2),Sheet3!$D$1:$E$7,2,0))</f>
        <v>Fri</v>
      </c>
      <c r="ED6" s="8" t="str">
        <f>IF(ED$5="","",VLOOKUP(WEEKDAY(DATE($A$2,$A$3+$A$1-1,ED5),2),Sheet3!$D$1:$E$7,2,0))</f>
        <v>Sat</v>
      </c>
      <c r="EE6" s="8" t="str">
        <f>IF(EE$5="","",VLOOKUP(WEEKDAY(DATE($A$2,$A$3+$A$1-1,EE5),2),Sheet3!$D$1:$E$7,2,0))</f>
        <v>Sun</v>
      </c>
      <c r="EF6" s="8" t="str">
        <f>IF(EF$5="","",VLOOKUP(WEEKDAY(DATE($A$2,$A$3+$A$1-1,EF5),2),Sheet3!$D$1:$E$7,2,0))</f>
        <v>Mon</v>
      </c>
      <c r="EG6" s="8" t="str">
        <f>IF(EG$5="","",VLOOKUP(WEEKDAY(DATE($A$2,$A$3+$A$1-1,EG5),2),Sheet3!$D$1:$E$7,2,0))</f>
        <v>Tue</v>
      </c>
      <c r="EH6" s="8" t="str">
        <f>IF(EH$5="","",VLOOKUP(WEEKDAY(DATE($A$2,$A$3+$A$1-1,EH5),2),Sheet3!$D$1:$E$7,2,0))</f>
        <v>Wed</v>
      </c>
      <c r="EI6" s="8" t="str">
        <f>IF(EI$5="","",VLOOKUP(WEEKDAY(DATE($A$2,$A$3+$A$1-1,EI5),2),Sheet3!$D$1:$E$7,2,0))</f>
        <v>Thu</v>
      </c>
      <c r="EJ6" s="8" t="str">
        <f>IF(EJ$5="","",VLOOKUP(WEEKDAY(DATE($A$2,$A$3+$A$1-1,EJ5),2),Sheet3!$D$1:$E$7,2,0))</f>
        <v>Fri</v>
      </c>
      <c r="EK6" s="8" t="str">
        <f>IF(EK$5="","",VLOOKUP(WEEKDAY(DATE($A$2,$A$3+$A$1-1,EK5),2),Sheet3!$D$1:$E$7,2,0))</f>
        <v>Sat</v>
      </c>
      <c r="EL6" s="8" t="str">
        <f>IF(EL$5="","",VLOOKUP(WEEKDAY(DATE($A$2,$A$3+$A$1-1,EL5),2),Sheet3!$D$1:$E$7,2,0))</f>
        <v>Sun</v>
      </c>
      <c r="EM6" s="8" t="str">
        <f>IF(EM$5="","",VLOOKUP(WEEKDAY(DATE($A$2,$A$3+$A$1-1,EM5),2),Sheet3!$D$1:$E$7,2,0))</f>
        <v>Mon</v>
      </c>
      <c r="EN6" s="8" t="str">
        <f>IF(EN$5="","",VLOOKUP(WEEKDAY(DATE($A$2,$A$3+$A$1-1,EN5),2),Sheet3!$D$1:$E$7,2,0))</f>
        <v>Tue</v>
      </c>
      <c r="EO6" s="8" t="str">
        <f>IF(EO$5="","",VLOOKUP(WEEKDAY(DATE($A$2,$A$3+$A$1-1,EO5),2),Sheet3!$D$1:$E$7,2,0))</f>
        <v>Wed</v>
      </c>
      <c r="EP6" s="8" t="str">
        <f>IF(EP$5="","",VLOOKUP(WEEKDAY(DATE($A$2,$A$3+$A$1-1,EP5),2),Sheet3!$D$1:$E$7,2,0))</f>
        <v>Thu</v>
      </c>
      <c r="EQ6" s="8" t="str">
        <f>IF(EQ$5="","",VLOOKUP(WEEKDAY(DATE($A$2,$A$3+$A$1-1,EQ5),2),Sheet3!$D$1:$E$7,2,0))</f>
        <v>Fri</v>
      </c>
      <c r="ER6" s="8" t="str">
        <f>IF(ER$5="","",VLOOKUP(WEEKDAY(DATE($A$2,$A$3+$A$1-1,ER5),2),Sheet3!$D$1:$E$7,2,0))</f>
        <v>Sat</v>
      </c>
      <c r="ES6" s="8" t="str">
        <f>IF(ES$5="","",VLOOKUP(WEEKDAY(DATE($A$2,$A$3+$A$1-1,ES5),2),Sheet3!$D$1:$E$7,2,0))</f>
        <v>Sun</v>
      </c>
      <c r="ET6" s="8" t="str">
        <f>IF(ET$5="","",VLOOKUP(WEEKDAY(DATE($A$2,$A$3+$A$1-1,ET5),2),Sheet3!$D$1:$E$7,2,0))</f>
        <v>Mon</v>
      </c>
      <c r="EU6" s="8" t="str">
        <f>IF(EU$5="","",VLOOKUP(WEEKDAY(DATE($A$2,$A$3+$A$1-1,EU5),2),Sheet3!$D$1:$E$7,2,0))</f>
        <v>Tue</v>
      </c>
      <c r="EV6" s="8" t="str">
        <f>IF(EV$5="","",VLOOKUP(WEEKDAY(DATE($A$2,$A$3+$A$1-1,EV5),2),Sheet3!$D$1:$E$7,2,0))</f>
        <v>Wed</v>
      </c>
      <c r="EW6" s="8" t="str">
        <f>IF(EW$5="","",VLOOKUP(WEEKDAY(DATE($A$2,$A$3+$A$1-1,EW5),2),Sheet3!$D$1:$E$7,2,0))</f>
        <v>Thu</v>
      </c>
      <c r="EX6" s="8" t="str">
        <f>IF(EX$5="","",VLOOKUP(WEEKDAY(DATE($A$2,$A$3+$A$1-1,EX5),2),Sheet3!$D$1:$E$7,2,0))</f>
        <v>Fri</v>
      </c>
      <c r="EY6" s="8" t="str">
        <f>IF(EY$5="","",VLOOKUP(WEEKDAY(DATE($A$2,$A$3+$A$1-1,EY5),2),Sheet3!$D$1:$E$7,2,0))</f>
        <v>Sat</v>
      </c>
      <c r="EZ6" s="8" t="str">
        <f>IF(EZ$5="","",VLOOKUP(WEEKDAY(DATE($A$2,$A$3+$A$1-1,EZ5),2),Sheet3!$D$1:$E$7,2,0))</f>
        <v>Sun</v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66"/>
      <c r="NK6" s="68"/>
      <c r="NL6" s="70"/>
      <c r="NM6" s="70"/>
      <c r="NN6" s="70"/>
      <c r="NO6" s="70"/>
      <c r="NP6" s="69"/>
      <c r="NQ6" s="69"/>
      <c r="NR6" s="69"/>
      <c r="NS6" s="69"/>
      <c r="NT6" s="69"/>
      <c r="NU6" s="73"/>
      <c r="NV6" s="63"/>
    </row>
    <row r="7" spans="1:762">
      <c r="A7" s="3" t="s">
        <v>17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9"/>
      <c r="MC7" s="19"/>
      <c r="MD7" s="1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19"/>
      <c r="NH7" s="19"/>
      <c r="NI7" s="19"/>
      <c r="NJ7" s="13"/>
      <c r="NK7" s="20"/>
      <c r="NL7" s="21"/>
      <c r="NM7" s="21"/>
      <c r="NN7" s="21"/>
      <c r="NO7" s="21"/>
      <c r="NP7" s="21"/>
      <c r="NQ7" s="21"/>
      <c r="NR7" s="21"/>
      <c r="NS7" s="21"/>
      <c r="NT7" s="21"/>
      <c r="NU7" s="58"/>
      <c r="NV7" s="64"/>
      <c r="NX7" s="24" t="s">
        <v>18</v>
      </c>
      <c r="NY7" s="24" t="s">
        <v>19</v>
      </c>
    </row>
    <row r="8" spans="1:762" ht="12.75" customHeight="1">
      <c r="A8" s="46" t="s">
        <v>20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 t="s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43"/>
      <c r="BP8" s="43"/>
      <c r="BQ8" s="43"/>
      <c r="BR8" s="1"/>
      <c r="BS8" s="1"/>
      <c r="BT8" s="1"/>
      <c r="BU8" s="1"/>
      <c r="BV8" s="1"/>
      <c r="BW8" s="1"/>
      <c r="BX8" s="1"/>
      <c r="BY8" s="1"/>
      <c r="BZ8" s="1"/>
      <c r="CA8" s="1"/>
      <c r="CB8" s="1" t="s">
        <v>6</v>
      </c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 t="s">
        <v>6</v>
      </c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 t="s">
        <v>6</v>
      </c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 t="s">
        <v>7</v>
      </c>
      <c r="EV8" s="1"/>
      <c r="EW8" s="1"/>
      <c r="EX8" s="1" t="s">
        <v>7</v>
      </c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57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38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41">
        <f t="array" aca="1" ref="NJ8" ca="1">SUMPRODUCT((OFFSET($A8,0,31*($A$3-1)+1,1,31)&lt;&gt;"")*(IF(OFFSET($A8,0,31*($A$3-1)+1,1,31)=$NY$43,0.5,IF(OFFSET($A8,0,31*($A$3-1)+1,1,31)=$NY$44,0.5,1))*(OFFSET($A$4,0,31*($A$3-1)+1,1,31))))</f>
        <v>3</v>
      </c>
      <c r="NK8" s="42">
        <f t="array" aca="1" ref="NK8" ca="1">SUMPRODUCT((OFFSET($A8,0,1,1,372)&lt;&gt;"")*(IF(OFFSET($A8,0,1,1,372)=$NY$43,0.5,IF(OFFSET($A8,0,1,1,372)=$NY$44,0.5,1))*(OFFSET($A$3,0,1,1,372))))</f>
        <v>6</v>
      </c>
      <c r="NL8" s="22">
        <f t="shared" ref="NL8:NU12" ca="1" si="6">SUMPRODUCT((OFFSET($A8,0,1,1,372)&lt;&gt;"")*(OFFSET($A$3,0,1,1,372))*((OFFSET($A8,0,1,1,372))=NL$5))</f>
        <v>4</v>
      </c>
      <c r="NM8" s="22">
        <f t="shared" ca="1" si="6"/>
        <v>2</v>
      </c>
      <c r="NN8" s="22">
        <f t="shared" ca="1" si="6"/>
        <v>0</v>
      </c>
      <c r="NO8" s="22">
        <f t="shared" ca="1" si="6"/>
        <v>0</v>
      </c>
      <c r="NP8" s="22">
        <f t="shared" ca="1" si="6"/>
        <v>0</v>
      </c>
      <c r="NQ8" s="22">
        <f t="shared" ca="1" si="6"/>
        <v>0</v>
      </c>
      <c r="NR8" s="22">
        <f t="shared" ca="1" si="6"/>
        <v>0</v>
      </c>
      <c r="NS8" s="22">
        <f t="shared" ca="1" si="6"/>
        <v>0</v>
      </c>
      <c r="NT8" s="22">
        <f t="shared" ca="1" si="6"/>
        <v>0</v>
      </c>
      <c r="NU8" s="22">
        <f t="shared" ca="1" si="6"/>
        <v>0</v>
      </c>
      <c r="NV8" s="54"/>
      <c r="NX8" s="29" t="s">
        <v>21</v>
      </c>
      <c r="NY8" s="59"/>
    </row>
    <row r="9" spans="1:762" ht="14.25">
      <c r="A9" s="46" t="s">
        <v>22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3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 t="s">
        <v>6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 t="s">
        <v>6</v>
      </c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43"/>
      <c r="BP9" s="43"/>
      <c r="BQ9" s="43"/>
      <c r="BR9" s="1"/>
      <c r="BS9" s="1"/>
      <c r="BT9" s="1"/>
      <c r="BU9" s="43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 t="s">
        <v>6</v>
      </c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 t="s">
        <v>6</v>
      </c>
      <c r="EJ9" s="1" t="s">
        <v>6</v>
      </c>
      <c r="EK9" s="1"/>
      <c r="EL9" s="1"/>
      <c r="EM9" s="1"/>
      <c r="EN9" s="1"/>
      <c r="EO9" s="1"/>
      <c r="EP9" s="1" t="s">
        <v>7</v>
      </c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53"/>
      <c r="FI9" s="1"/>
      <c r="FJ9" s="1"/>
      <c r="FK9" s="1"/>
      <c r="FL9" s="1"/>
      <c r="FM9" s="1"/>
      <c r="FN9" s="1"/>
      <c r="FO9" s="38"/>
      <c r="FP9" s="38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38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57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56"/>
      <c r="LF9" s="1"/>
      <c r="LG9" s="1"/>
      <c r="LH9" s="1"/>
      <c r="LI9" s="1"/>
      <c r="LJ9" s="1"/>
      <c r="LK9" s="56"/>
      <c r="LL9" s="56"/>
      <c r="LM9" s="56"/>
      <c r="LN9" s="56"/>
      <c r="LO9" s="1"/>
      <c r="LP9" s="1"/>
      <c r="LQ9" s="56"/>
      <c r="LR9" s="56"/>
      <c r="LS9" s="56"/>
      <c r="LT9" s="56"/>
      <c r="LU9" s="56"/>
      <c r="LV9" s="1"/>
      <c r="LW9" s="1"/>
      <c r="LX9" s="56"/>
      <c r="LY9" s="56"/>
      <c r="LZ9" s="56"/>
      <c r="MA9" s="56"/>
      <c r="MB9" s="56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SUMPRODUCT((OFFSET($A9,0,31*($A$3-1)+1,1,31)&lt;&gt;"")*(IF(OFFSET($A9,0,31*($A$3-1)+1,1,31)=$NY$43,0.5,IF(OFFSET($A9,0,31*($A$3-1)+1,1,31)=$NY$44,0.5,1))*(OFFSET($A$4,0,31*($A$3-1)+1,1,31))))</f>
        <v>3</v>
      </c>
      <c r="NK9" s="17">
        <f t="array" aca="1" ref="NK9" ca="1">SUMPRODUCT((OFFSET($A9,0,1,1,372)&lt;&gt;"")*(IF(OFFSET($A9,0,1,1,372)=$NY$43,0.5,IF(OFFSET($A9,0,1,1,372)=$NY$44,0.5,1))*(OFFSET($A$3,0,1,1,372))))</f>
        <v>6</v>
      </c>
      <c r="NL9" s="22">
        <f t="shared" ca="1" si="6"/>
        <v>5</v>
      </c>
      <c r="NM9" s="22">
        <f t="shared" ca="1" si="6"/>
        <v>1</v>
      </c>
      <c r="NN9" s="22">
        <f t="shared" ca="1" si="6"/>
        <v>0</v>
      </c>
      <c r="NO9" s="22">
        <f t="shared" ca="1" si="6"/>
        <v>0</v>
      </c>
      <c r="NP9" s="22">
        <f t="shared" ca="1" si="6"/>
        <v>0</v>
      </c>
      <c r="NQ9" s="22">
        <f t="shared" ca="1" si="6"/>
        <v>0</v>
      </c>
      <c r="NR9" s="22">
        <f t="shared" ca="1" si="6"/>
        <v>0</v>
      </c>
      <c r="NS9" s="22">
        <f t="shared" ca="1" si="6"/>
        <v>0</v>
      </c>
      <c r="NT9" s="22">
        <f t="shared" ca="1" si="6"/>
        <v>0</v>
      </c>
      <c r="NU9" s="22">
        <f t="shared" ca="1" si="6"/>
        <v>0</v>
      </c>
      <c r="NV9" s="54"/>
      <c r="NX9" s="29" t="s">
        <v>23</v>
      </c>
      <c r="NY9" s="60" t="s">
        <v>24</v>
      </c>
    </row>
    <row r="10" spans="1:762" ht="14.25">
      <c r="A10" s="46" t="s">
        <v>25</v>
      </c>
      <c r="B10" s="1"/>
      <c r="C10" s="1"/>
      <c r="D10" s="1"/>
      <c r="E10" s="1"/>
      <c r="F10" s="1"/>
      <c r="G10" s="1"/>
      <c r="H10" s="3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 t="s">
        <v>26</v>
      </c>
      <c r="W10" s="1" t="s">
        <v>26</v>
      </c>
      <c r="X10" s="1"/>
      <c r="Y10" s="1"/>
      <c r="Z10" s="1"/>
      <c r="AA10" s="1"/>
      <c r="AB10" s="1"/>
      <c r="AC10" s="1"/>
      <c r="AD10" s="1"/>
      <c r="AE10" s="1"/>
      <c r="AF10" s="1"/>
      <c r="AG10" s="38"/>
      <c r="AH10" s="1"/>
      <c r="AI10" s="1"/>
      <c r="AJ10" s="1"/>
      <c r="AK10" s="1"/>
      <c r="AL10" s="1" t="s">
        <v>7</v>
      </c>
      <c r="AM10" s="1"/>
      <c r="AN10" s="1"/>
      <c r="AO10" s="1"/>
      <c r="AP10" s="1"/>
      <c r="AQ10" s="1"/>
      <c r="AR10" s="1"/>
      <c r="AS10" s="1" t="s">
        <v>27</v>
      </c>
      <c r="AT10" s="1"/>
      <c r="AU10" s="1"/>
      <c r="AV10" s="1"/>
      <c r="AW10" s="1"/>
      <c r="AX10" s="1"/>
      <c r="AY10" s="1"/>
      <c r="AZ10" s="1"/>
      <c r="BA10" s="1"/>
      <c r="BB10" s="1"/>
      <c r="BC10" s="1" t="s">
        <v>6</v>
      </c>
      <c r="BD10" s="1" t="s">
        <v>6</v>
      </c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43"/>
      <c r="BP10" s="43"/>
      <c r="BQ10" s="43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 t="s">
        <v>6</v>
      </c>
      <c r="DT10" s="1"/>
      <c r="DU10" s="1"/>
      <c r="DV10" s="1"/>
      <c r="DW10" s="1"/>
      <c r="DX10" s="1"/>
      <c r="DY10" s="1"/>
      <c r="DZ10" s="1"/>
      <c r="EA10" s="1"/>
      <c r="EB10" s="1" t="s">
        <v>6</v>
      </c>
      <c r="EC10" s="1"/>
      <c r="ED10" s="1"/>
      <c r="EE10" s="1"/>
      <c r="EF10" s="1"/>
      <c r="EG10" s="1"/>
      <c r="EH10" s="1"/>
      <c r="EI10" s="1"/>
      <c r="EJ10" s="1" t="s">
        <v>6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 t="s">
        <v>7</v>
      </c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57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38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41">
        <f t="array" aca="1" ref="NJ10" ca="1">SUMPRODUCT((OFFSET($A10,0,31*($A$3-1)+1,1,31)&lt;&gt;"")*(IF(OFFSET($A10,0,31*($A$3-1)+1,1,31)=$NY$43,0.5,IF(OFFSET($A10,0,31*($A$3-1)+1,1,31)=$NY$44,0.5,1))*(OFFSET($A$4,0,31*($A$3-1)+1,1,31))))</f>
        <v>3</v>
      </c>
      <c r="NK10" s="42">
        <f t="array" aca="1" ref="NK10" ca="1">SUMPRODUCT((OFFSET($A10,0,1,1,372)&lt;&gt;"")*(IF(OFFSET($A10,0,1,1,372)=$NY$43,0.5,IF(OFFSET($A10,0,1,1,372)=$NY$44,0.5,1))*(OFFSET($A$3,0,1,1,372))))</f>
        <v>8.5</v>
      </c>
      <c r="NL10" s="22">
        <f ca="1">SUMPRODUCT((OFFSET($A10,0,1,1,372)&lt;&gt;"")*(OFFSET($A$3,0,1,1,372))*((OFFSET($A10,0,1,1,372))=NL$5))</f>
        <v>5</v>
      </c>
      <c r="NM10" s="22">
        <f t="shared" ref="NM10:NU10" ca="1" si="7">SUMPRODUCT((OFFSET($A10,0,1,1,372)&lt;&gt;"")*(OFFSET($A$3,0,1,1,372))*((OFFSET($A10,0,1,1,372))=NM$5))</f>
        <v>2</v>
      </c>
      <c r="NN10" s="22">
        <f t="shared" ca="1" si="7"/>
        <v>0</v>
      </c>
      <c r="NO10" s="22">
        <f t="shared" ca="1" si="7"/>
        <v>0</v>
      </c>
      <c r="NP10" s="22">
        <f t="shared" ca="1" si="7"/>
        <v>0</v>
      </c>
      <c r="NQ10" s="22">
        <f t="shared" ca="1" si="7"/>
        <v>0</v>
      </c>
      <c r="NR10" s="22">
        <f t="shared" ca="1" si="7"/>
        <v>0</v>
      </c>
      <c r="NS10" s="22">
        <f t="shared" ca="1" si="7"/>
        <v>0</v>
      </c>
      <c r="NT10" s="22">
        <f t="shared" ca="1" si="7"/>
        <v>1</v>
      </c>
      <c r="NU10" s="22">
        <f t="shared" ca="1" si="7"/>
        <v>2</v>
      </c>
      <c r="NV10" s="54"/>
      <c r="NX10" s="29" t="s">
        <v>28</v>
      </c>
      <c r="NY10" s="60"/>
    </row>
    <row r="11" spans="1:762" ht="14.25">
      <c r="A11" s="46" t="s">
        <v>29</v>
      </c>
      <c r="B11" s="1"/>
      <c r="C11" s="1"/>
      <c r="D11" s="1"/>
      <c r="E11" s="1"/>
      <c r="F11" s="1" t="s">
        <v>6</v>
      </c>
      <c r="G11" s="1"/>
      <c r="H11" s="38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 t="s">
        <v>7</v>
      </c>
      <c r="AI11" s="1"/>
      <c r="AJ11" s="1"/>
      <c r="AK11" s="1"/>
      <c r="AL11" s="1"/>
      <c r="AM11" s="1"/>
      <c r="AN11" s="1"/>
      <c r="AO11" s="1" t="s">
        <v>7</v>
      </c>
      <c r="AP11" s="1" t="s">
        <v>7</v>
      </c>
      <c r="AQ11" s="1"/>
      <c r="AR11" s="1"/>
      <c r="AS11" s="1"/>
      <c r="AT11" s="1"/>
      <c r="AU11" s="1"/>
      <c r="AV11" s="1"/>
      <c r="AW11" s="1"/>
      <c r="AX11" s="1"/>
      <c r="AY11" s="1"/>
      <c r="AZ11" s="1" t="s">
        <v>7</v>
      </c>
      <c r="BA11" s="1"/>
      <c r="BB11" s="1"/>
      <c r="BC11" s="1" t="s">
        <v>7</v>
      </c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43"/>
      <c r="BP11" s="43"/>
      <c r="BQ11" s="43"/>
      <c r="BR11" s="1"/>
      <c r="BS11" s="1"/>
      <c r="BT11" s="1"/>
      <c r="BU11" s="1"/>
      <c r="BV11" s="1"/>
      <c r="BW11" s="1"/>
      <c r="BX11" s="1" t="s">
        <v>6</v>
      </c>
      <c r="BY11" s="1"/>
      <c r="BZ11" s="1"/>
      <c r="CA11" s="1" t="s">
        <v>6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 t="s">
        <v>6</v>
      </c>
      <c r="CQ11" s="1" t="s">
        <v>6</v>
      </c>
      <c r="CR11" s="1" t="s">
        <v>6</v>
      </c>
      <c r="CS11" s="1"/>
      <c r="CT11" s="1"/>
      <c r="CU11" s="1"/>
      <c r="CV11" s="1" t="s">
        <v>6</v>
      </c>
      <c r="CW11" s="1" t="s">
        <v>6</v>
      </c>
      <c r="CX11" s="1" t="s">
        <v>6</v>
      </c>
      <c r="CY11" s="1" t="s">
        <v>6</v>
      </c>
      <c r="CZ11" s="1" t="s">
        <v>6</v>
      </c>
      <c r="DA11" s="1"/>
      <c r="DB11" s="1"/>
      <c r="DC11" s="1" t="s">
        <v>6</v>
      </c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57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38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41">
        <f t="array" aca="1" ref="NJ11" ca="1">SUMPRODUCT((OFFSET($A11,0,31*($A$3-1)+1,1,31)&lt;&gt;"")*(IF(OFFSET($A11,0,31*($A$3-1)+1,1,31)=$NY$43,0.5,IF(OFFSET($A11,0,31*($A$3-1)+1,1,31)=$NY$44,0.5,1))*(OFFSET($A$4,0,31*($A$3-1)+1,1,31))))</f>
        <v>0</v>
      </c>
      <c r="NK11" s="42">
        <f t="array" aca="1" ref="NK11" ca="1">SUMPRODUCT((OFFSET($A11,0,1,1,372)&lt;&gt;"")*(IF(OFFSET($A11,0,1,1,372)=$NY$43,0.5,IF(OFFSET($A11,0,1,1,372)=$NY$44,0.5,1))*(OFFSET($A$3,0,1,1,372))))</f>
        <v>17</v>
      </c>
      <c r="NL11" s="22">
        <f t="shared" ca="1" si="6"/>
        <v>12</v>
      </c>
      <c r="NM11" s="22">
        <f t="shared" ca="1" si="6"/>
        <v>5</v>
      </c>
      <c r="NN11" s="22">
        <f t="shared" ca="1" si="6"/>
        <v>0</v>
      </c>
      <c r="NO11" s="22">
        <f t="shared" ca="1" si="6"/>
        <v>0</v>
      </c>
      <c r="NP11" s="22">
        <f t="shared" ca="1" si="6"/>
        <v>0</v>
      </c>
      <c r="NQ11" s="22">
        <f t="shared" ca="1" si="6"/>
        <v>0</v>
      </c>
      <c r="NR11" s="22">
        <f t="shared" ca="1" si="6"/>
        <v>0</v>
      </c>
      <c r="NS11" s="22">
        <f t="shared" ca="1" si="6"/>
        <v>0</v>
      </c>
      <c r="NT11" s="22">
        <f t="shared" ca="1" si="6"/>
        <v>0</v>
      </c>
      <c r="NU11" s="22">
        <f t="shared" ca="1" si="6"/>
        <v>0</v>
      </c>
      <c r="NV11" s="54"/>
      <c r="NX11" s="29" t="s">
        <v>30</v>
      </c>
      <c r="NY11" s="60"/>
    </row>
    <row r="12" spans="1:762" ht="14.25">
      <c r="A12" s="46" t="s">
        <v>31</v>
      </c>
      <c r="B12" s="1"/>
      <c r="C12" s="1"/>
      <c r="D12" s="1"/>
      <c r="E12" s="1"/>
      <c r="F12" s="1"/>
      <c r="G12" s="1"/>
      <c r="H12" s="38"/>
      <c r="I12" s="1"/>
      <c r="J12" s="1"/>
      <c r="K12" s="1"/>
      <c r="L12" s="1"/>
      <c r="M12" s="1"/>
      <c r="N12" s="1"/>
      <c r="O12" s="1" t="s">
        <v>6</v>
      </c>
      <c r="P12" s="1"/>
      <c r="Q12" s="1"/>
      <c r="R12" s="1"/>
      <c r="S12" s="1"/>
      <c r="T12" s="1" t="s">
        <v>6</v>
      </c>
      <c r="U12" s="1"/>
      <c r="V12" s="1"/>
      <c r="W12" s="1"/>
      <c r="X12" s="1" t="s">
        <v>6</v>
      </c>
      <c r="Y12" s="1"/>
      <c r="Z12" s="1"/>
      <c r="AA12" s="1"/>
      <c r="AB12" s="1" t="s">
        <v>6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 t="s">
        <v>7</v>
      </c>
      <c r="AT12" s="1"/>
      <c r="AU12" s="1"/>
      <c r="AV12" s="1" t="s">
        <v>7</v>
      </c>
      <c r="AW12" s="1"/>
      <c r="AX12" s="1"/>
      <c r="AY12" s="1"/>
      <c r="AZ12" s="1"/>
      <c r="BA12" s="1"/>
      <c r="BB12" s="1"/>
      <c r="BC12" s="1"/>
      <c r="BD12" s="1" t="s">
        <v>7</v>
      </c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43"/>
      <c r="BP12" s="43"/>
      <c r="BQ12" s="43"/>
      <c r="BR12" s="1"/>
      <c r="BS12" s="1"/>
      <c r="BT12" s="1"/>
      <c r="BU12" s="1"/>
      <c r="BV12" s="1"/>
      <c r="BW12" s="1" t="s">
        <v>27</v>
      </c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 t="s">
        <v>6</v>
      </c>
      <c r="CK12" s="1"/>
      <c r="CL12" s="1" t="s">
        <v>6</v>
      </c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 t="s">
        <v>7</v>
      </c>
      <c r="EN12" s="1"/>
      <c r="EO12" s="1"/>
      <c r="EP12" s="1"/>
      <c r="EQ12" s="1" t="s">
        <v>7</v>
      </c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57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38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41">
        <f t="array" aca="1" ref="NJ12" ca="1">SUMPRODUCT((OFFSET($A12,0,31*($A$3-1)+1,1,31)&lt;&gt;"")*(IF(OFFSET($A12,0,31*($A$3-1)+1,1,31)=$NY$43,0.5,IF(OFFSET($A12,0,31*($A$3-1)+1,1,31)=$NY$44,0.5,1))*(OFFSET($A$4,0,31*($A$3-1)+1,1,31))))</f>
        <v>2</v>
      </c>
      <c r="NK12" s="42">
        <f t="array" aca="1" ref="NK12" ca="1">SUMPRODUCT((OFFSET($A12,0,1,1,372)&lt;&gt;"")*(IF(OFFSET($A12,0,1,1,372)=$NY$43,0.5,IF(OFFSET($A12,0,1,1,372)=$NY$44,0.5,1))*(OFFSET($A$3,0,1,1,372))))</f>
        <v>11.5</v>
      </c>
      <c r="NL12" s="22">
        <f t="shared" ca="1" si="6"/>
        <v>6</v>
      </c>
      <c r="NM12" s="22">
        <f t="shared" ca="1" si="6"/>
        <v>5</v>
      </c>
      <c r="NN12" s="22">
        <f t="shared" ca="1" si="6"/>
        <v>0</v>
      </c>
      <c r="NO12" s="22">
        <f t="shared" ca="1" si="6"/>
        <v>0</v>
      </c>
      <c r="NP12" s="22">
        <f t="shared" ca="1" si="6"/>
        <v>0</v>
      </c>
      <c r="NQ12" s="22">
        <f t="shared" ca="1" si="6"/>
        <v>0</v>
      </c>
      <c r="NR12" s="22">
        <f t="shared" ca="1" si="6"/>
        <v>0</v>
      </c>
      <c r="NS12" s="22">
        <f t="shared" ca="1" si="6"/>
        <v>0</v>
      </c>
      <c r="NT12" s="22">
        <f t="shared" ca="1" si="6"/>
        <v>1</v>
      </c>
      <c r="NU12" s="22">
        <f t="shared" ca="1" si="6"/>
        <v>0</v>
      </c>
      <c r="NV12" s="54"/>
      <c r="NX12" s="29" t="s">
        <v>32</v>
      </c>
      <c r="NY12" s="60"/>
    </row>
    <row r="13" spans="1:762" ht="14.25">
      <c r="A13" s="46" t="s">
        <v>33</v>
      </c>
      <c r="B13" s="1"/>
      <c r="C13" s="1"/>
      <c r="D13" s="1"/>
      <c r="E13" s="1"/>
      <c r="F13" s="1"/>
      <c r="G13" s="1"/>
      <c r="H13" s="38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38"/>
      <c r="AP13" s="1"/>
      <c r="AQ13" s="1"/>
      <c r="AR13" s="38"/>
      <c r="AS13" s="38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 t="s">
        <v>7</v>
      </c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43"/>
      <c r="BP13" s="43"/>
      <c r="BQ13" s="43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 t="s">
        <v>6</v>
      </c>
      <c r="CD13" s="1" t="s">
        <v>6</v>
      </c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 t="s">
        <v>7</v>
      </c>
      <c r="EN13" s="1"/>
      <c r="EO13" s="1"/>
      <c r="EP13" s="1"/>
      <c r="EQ13" s="1"/>
      <c r="ER13" s="1"/>
      <c r="ES13" s="1"/>
      <c r="ET13" s="1"/>
      <c r="EU13" s="1"/>
      <c r="EV13" s="1"/>
      <c r="EW13" s="1" t="s">
        <v>7</v>
      </c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57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38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41">
        <f t="array" aca="1" ref="NJ13" ca="1">SUMPRODUCT((OFFSET($A13,0,31*($A$3-1)+1,1,31)&lt;&gt;"")*(IF(OFFSET($A13,0,31*($A$3-1)+1,1,31)=$NY$43,0.5,IF(OFFSET($A13,0,31*($A$3-1)+1,1,31)=$NY$44,0.5,1))*(OFFSET($A$4,0,31*($A$3-1)+1,1,31))))</f>
        <v>2</v>
      </c>
      <c r="NK13" s="42">
        <f t="array" aca="1" ref="NK13" ca="1">SUMPRODUCT((OFFSET($A13,0,1,1,372)&lt;&gt;"")*(IF(OFFSET($A13,0,1,1,372)=$NY$43,0.5,IF(OFFSET($A13,0,1,1,372)=$NY$44,0.5,1))*(OFFSET($A$3,0,1,1,372))))</f>
        <v>5</v>
      </c>
      <c r="NL13" s="22">
        <f t="shared" ref="NL13:NU13" ca="1" si="8">SUMPRODUCT((OFFSET($A13,0,1,1,372)&lt;&gt;"")*(OFFSET($A$3,0,1,1,372))*((OFFSET($A13,0,1,1,372))=NL$5))</f>
        <v>2</v>
      </c>
      <c r="NM13" s="22">
        <f t="shared" ca="1" si="8"/>
        <v>3</v>
      </c>
      <c r="NN13" s="22">
        <f t="shared" ca="1" si="8"/>
        <v>0</v>
      </c>
      <c r="NO13" s="22">
        <f t="shared" ca="1" si="8"/>
        <v>0</v>
      </c>
      <c r="NP13" s="22">
        <f t="shared" ca="1" si="8"/>
        <v>0</v>
      </c>
      <c r="NQ13" s="22">
        <f t="shared" ca="1" si="8"/>
        <v>0</v>
      </c>
      <c r="NR13" s="22">
        <f t="shared" ca="1" si="8"/>
        <v>0</v>
      </c>
      <c r="NS13" s="22">
        <f t="shared" ca="1" si="8"/>
        <v>0</v>
      </c>
      <c r="NT13" s="22">
        <f t="shared" ca="1" si="8"/>
        <v>0</v>
      </c>
      <c r="NU13" s="22">
        <f t="shared" ca="1" si="8"/>
        <v>0</v>
      </c>
      <c r="NV13" s="54"/>
      <c r="NX13" s="29" t="s">
        <v>34</v>
      </c>
      <c r="NY13" s="60"/>
    </row>
    <row r="14" spans="1:762" ht="14.25">
      <c r="A14" s="46"/>
      <c r="B14" s="1"/>
      <c r="C14" s="1"/>
      <c r="D14" s="1"/>
      <c r="E14" s="1"/>
      <c r="F14" s="1"/>
      <c r="G14" s="1"/>
      <c r="H14" s="38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38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43"/>
      <c r="BP14" s="43"/>
      <c r="BQ14" s="43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57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38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41">
        <f t="array" aca="1" ref="NJ14" ca="1">SUMPRODUCT((OFFSET($A14,0,31*($A$3-1)+1,1,31)&lt;&gt;"")*(IF(OFFSET($A14,0,31*($A$3-1)+1,1,31)=$NY$43,0.5,IF(OFFSET($A14,0,31*($A$3-1)+1,1,31)=$NY$44,0.5,1))*(OFFSET($A$4,0,31*($A$3-1)+1,1,31))))</f>
        <v>0</v>
      </c>
      <c r="NK14" s="42">
        <f t="array" aca="1" ref="NK14" ca="1">SUMPRODUCT((OFFSET($A14,0,1,1,372)&lt;&gt;"")*(IF(OFFSET($A14,0,1,1,372)=$NY$43,0.5,IF(OFFSET($A14,0,1,1,372)=$NY$44,0.5,1))*(OFFSET($A$3,0,1,1,372))))</f>
        <v>0</v>
      </c>
      <c r="NL14" s="22">
        <f t="shared" ref="NL14:NU14" ca="1" si="9">SUMPRODUCT((OFFSET($A14,0,1,1,372)&lt;&gt;"")*(OFFSET($A$3,0,1,1,372))*((OFFSET($A14,0,1,1,372))=NL$5))</f>
        <v>0</v>
      </c>
      <c r="NM14" s="22">
        <f t="shared" ca="1" si="9"/>
        <v>0</v>
      </c>
      <c r="NN14" s="22">
        <f t="shared" ca="1" si="9"/>
        <v>0</v>
      </c>
      <c r="NO14" s="22">
        <f t="shared" ca="1" si="9"/>
        <v>0</v>
      </c>
      <c r="NP14" s="22">
        <f t="shared" ca="1" si="9"/>
        <v>0</v>
      </c>
      <c r="NQ14" s="22">
        <f t="shared" ca="1" si="9"/>
        <v>0</v>
      </c>
      <c r="NR14" s="22">
        <f t="shared" ca="1" si="9"/>
        <v>0</v>
      </c>
      <c r="NS14" s="22">
        <f t="shared" ca="1" si="9"/>
        <v>0</v>
      </c>
      <c r="NT14" s="22">
        <f t="shared" ca="1" si="9"/>
        <v>0</v>
      </c>
      <c r="NU14" s="22">
        <f t="shared" ca="1" si="9"/>
        <v>0</v>
      </c>
      <c r="NV14" s="54"/>
      <c r="NX14" s="29"/>
      <c r="NY14" s="60"/>
    </row>
    <row r="15" spans="1:762" ht="14.25">
      <c r="A15" s="46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43"/>
      <c r="BP15" s="43"/>
      <c r="BQ15" s="43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57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38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41">
        <f t="array" aca="1" ref="NJ15" ca="1">SUMPRODUCT((OFFSET($A15,0,31*($A$3-1)+1,1,31)&lt;&gt;"")*(IF(OFFSET($A15,0,31*($A$3-1)+1,1,31)=$NY$43,0.5,IF(OFFSET($A15,0,31*($A$3-1)+1,1,31)=$NY$44,0.5,1))*(OFFSET($A$4,0,31*($A$3-1)+1,1,31))))</f>
        <v>0</v>
      </c>
      <c r="NK15" s="42">
        <f t="array" aca="1" ref="NK15" ca="1">SUMPRODUCT((OFFSET($A15,0,1,1,372)&lt;&gt;"")*(IF(OFFSET($A15,0,1,1,372)=$NY$43,0.5,IF(OFFSET($A15,0,1,1,372)=$NY$44,0.5,1))*(OFFSET($A$3,0,1,1,372))))</f>
        <v>0</v>
      </c>
      <c r="NL15" s="22">
        <f t="shared" ref="NL15:NU16" ca="1" si="10">SUMPRODUCT((OFFSET($A15,0,1,1,372)&lt;&gt;"")*(OFFSET($A$3,0,1,1,372))*((OFFSET($A15,0,1,1,372))=NL$5))</f>
        <v>0</v>
      </c>
      <c r="NM15" s="22">
        <f t="shared" ca="1" si="10"/>
        <v>0</v>
      </c>
      <c r="NN15" s="22">
        <f t="shared" ca="1" si="10"/>
        <v>0</v>
      </c>
      <c r="NO15" s="22">
        <f t="shared" ca="1" si="10"/>
        <v>0</v>
      </c>
      <c r="NP15" s="22">
        <f t="shared" ca="1" si="10"/>
        <v>0</v>
      </c>
      <c r="NQ15" s="22">
        <f t="shared" ca="1" si="10"/>
        <v>0</v>
      </c>
      <c r="NR15" s="22">
        <f t="shared" ca="1" si="10"/>
        <v>0</v>
      </c>
      <c r="NS15" s="22">
        <f t="shared" ca="1" si="10"/>
        <v>0</v>
      </c>
      <c r="NT15" s="22">
        <f t="shared" ca="1" si="10"/>
        <v>0</v>
      </c>
      <c r="NU15" s="22">
        <f t="shared" ca="1" si="10"/>
        <v>0</v>
      </c>
      <c r="NV15" s="54"/>
      <c r="NX15" s="29"/>
      <c r="NY15" s="60"/>
    </row>
    <row r="16" spans="1:762" ht="14.25" customHeight="1">
      <c r="A16" s="46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38"/>
      <c r="AP16" s="1"/>
      <c r="AQ16" s="1"/>
      <c r="AR16" s="38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43"/>
      <c r="BP16" s="43"/>
      <c r="BQ16" s="43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55"/>
      <c r="GX16" s="1"/>
      <c r="GY16" s="1"/>
      <c r="GZ16" s="1"/>
      <c r="HA16" s="55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57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35"/>
      <c r="KV16" s="35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53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41">
        <f t="array" aca="1" ref="NJ16" ca="1">SUMPRODUCT((OFFSET($A16,0,31*($A$3-1)+1,1,31)&lt;&gt;"")*(IF(OFFSET($A16,0,31*($A$3-1)+1,1,31)=$NY$43,0.5,IF(OFFSET($A16,0,31*($A$3-1)+1,1,31)=$NY$44,0.5,1))*(OFFSET($A$4,0,31*($A$3-1)+1,1,31))))</f>
        <v>0</v>
      </c>
      <c r="NK16" s="42">
        <f t="array" aca="1" ref="NK16" ca="1">SUMPRODUCT((OFFSET($A16,0,1,1,372)&lt;&gt;"")*(IF(OFFSET($A16,0,1,1,372)=$NY$43,0.5,IF(OFFSET($A16,0,1,1,372)=$NY$44,0.5,1))*(OFFSET($A$3,0,1,1,372))))</f>
        <v>0</v>
      </c>
      <c r="NL16" s="22">
        <f t="shared" ca="1" si="10"/>
        <v>0</v>
      </c>
      <c r="NM16" s="22">
        <f t="shared" ca="1" si="10"/>
        <v>0</v>
      </c>
      <c r="NN16" s="22">
        <f t="shared" ca="1" si="10"/>
        <v>0</v>
      </c>
      <c r="NO16" s="22">
        <f t="shared" ca="1" si="10"/>
        <v>0</v>
      </c>
      <c r="NP16" s="22">
        <f t="shared" ca="1" si="10"/>
        <v>0</v>
      </c>
      <c r="NQ16" s="22">
        <f t="shared" ca="1" si="10"/>
        <v>0</v>
      </c>
      <c r="NR16" s="22">
        <f t="shared" ca="1" si="10"/>
        <v>0</v>
      </c>
      <c r="NS16" s="22">
        <f t="shared" ca="1" si="10"/>
        <v>0</v>
      </c>
      <c r="NT16" s="22">
        <f t="shared" ca="1" si="10"/>
        <v>0</v>
      </c>
      <c r="NU16" s="22">
        <f t="shared" ca="1" si="10"/>
        <v>0</v>
      </c>
      <c r="NV16" s="54"/>
      <c r="NX16" s="29"/>
      <c r="NY16" s="60"/>
    </row>
    <row r="17" spans="1:389" ht="14.25">
      <c r="A17" s="45"/>
      <c r="B17" s="1"/>
      <c r="C17" s="1"/>
      <c r="D17" s="1"/>
      <c r="E17" s="1"/>
      <c r="F17" s="1"/>
      <c r="G17" s="1"/>
      <c r="H17" s="38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38"/>
      <c r="AS17" s="1"/>
      <c r="AT17" s="1"/>
      <c r="AU17" s="38"/>
      <c r="AV17" s="38"/>
      <c r="AW17" s="1"/>
      <c r="AX17" s="1"/>
      <c r="AY17" s="38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43"/>
      <c r="BP17" s="43"/>
      <c r="BQ17" s="43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57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38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41">
        <f t="array" aca="1" ref="NJ17" ca="1">SUMPRODUCT((OFFSET($A17,0,31*($A$3-1)+1,1,31)&lt;&gt;"")*(IF(OFFSET($A17,0,31*($A$3-1)+1,1,31)=$NY$43,0.5,IF(OFFSET($A17,0,31*($A$3-1)+1,1,31)=$NY$44,0.5,1))*(OFFSET($A$4,0,31*($A$3-1)+1,1,31))))</f>
        <v>0</v>
      </c>
      <c r="NK17" s="42">
        <f t="array" aca="1" ref="NK17" ca="1">SUMPRODUCT((OFFSET($A17,0,1,1,372)&lt;&gt;"")*(IF(OFFSET($A17,0,1,1,372)=$NY$43,0.5,IF(OFFSET($A17,0,1,1,372)=$NY$44,0.5,1))*(OFFSET($A$3,0,1,1,372))))</f>
        <v>0</v>
      </c>
      <c r="NL17" s="22"/>
      <c r="NM17" s="22"/>
      <c r="NN17" s="22">
        <f t="shared" ref="NN17:NU24" ca="1" si="11">SUMPRODUCT((OFFSET($A17,0,1,1,372)&lt;&gt;"")*(OFFSET($A$3,0,1,1,372))*((OFFSET($A17,0,1,1,372))=NN$5))</f>
        <v>0</v>
      </c>
      <c r="NO17" s="22">
        <f t="shared" ca="1" si="11"/>
        <v>0</v>
      </c>
      <c r="NP17" s="22">
        <f t="shared" ca="1" si="11"/>
        <v>0</v>
      </c>
      <c r="NQ17" s="22">
        <f t="shared" ca="1" si="11"/>
        <v>0</v>
      </c>
      <c r="NR17" s="22">
        <f t="shared" ca="1" si="11"/>
        <v>0</v>
      </c>
      <c r="NS17" s="22">
        <f t="shared" ca="1" si="11"/>
        <v>0</v>
      </c>
      <c r="NT17" s="22">
        <f t="shared" ca="1" si="11"/>
        <v>0</v>
      </c>
      <c r="NU17" s="22">
        <f t="shared" ca="1" si="11"/>
        <v>0</v>
      </c>
      <c r="NV17" s="52"/>
      <c r="NX17" s="29"/>
      <c r="NY17" s="60"/>
    </row>
    <row r="18" spans="1:389" ht="14.25">
      <c r="A18" s="45"/>
      <c r="B18" s="1"/>
      <c r="C18" s="1"/>
      <c r="D18" s="38"/>
      <c r="E18" s="38"/>
      <c r="F18" s="1"/>
      <c r="G18" s="1"/>
      <c r="H18" s="3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43"/>
      <c r="BP18" s="43"/>
      <c r="BQ18" s="43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57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38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41">
        <f t="array" aca="1" ref="NJ18" ca="1">SUMPRODUCT((OFFSET($A18,0,31*($A$3-1)+1,1,31)&lt;&gt;"")*(IF(OFFSET($A18,0,31*($A$3-1)+1,1,31)=$NY$43,0.5,IF(OFFSET($A18,0,31*($A$3-1)+1,1,31)=$NY$44,0.5,1))*(OFFSET($A$4,0,31*($A$3-1)+1,1,31))))</f>
        <v>0</v>
      </c>
      <c r="NK18" s="42">
        <f t="array" aca="1" ref="NK18" ca="1">SUMPRODUCT((OFFSET($A18,0,1,1,372)&lt;&gt;"")*(IF(OFFSET($A18,0,1,1,372)=$NY$43,0.5,IF(OFFSET($A18,0,1,1,372)=$NY$44,0.5,1))*(OFFSET($A$3,0,1,1,372))))</f>
        <v>0</v>
      </c>
      <c r="NL18" s="22">
        <f t="shared" ref="NL18:NM24" ca="1" si="12">SUMPRODUCT((OFFSET($A18,0,1,1,372)&lt;&gt;"")*(OFFSET($A$3,0,1,1,372))*((OFFSET($A18,0,1,1,372))=NL$5))</f>
        <v>0</v>
      </c>
      <c r="NM18" s="22">
        <f t="shared" ca="1" si="12"/>
        <v>0</v>
      </c>
      <c r="NN18" s="22">
        <f t="shared" ca="1" si="11"/>
        <v>0</v>
      </c>
      <c r="NO18" s="22">
        <f t="shared" ca="1" si="11"/>
        <v>0</v>
      </c>
      <c r="NP18" s="22">
        <f t="shared" ca="1" si="11"/>
        <v>0</v>
      </c>
      <c r="NQ18" s="22">
        <f t="shared" ca="1" si="11"/>
        <v>0</v>
      </c>
      <c r="NR18" s="22">
        <f t="shared" ca="1" si="11"/>
        <v>0</v>
      </c>
      <c r="NS18" s="22">
        <f t="shared" ca="1" si="11"/>
        <v>0</v>
      </c>
      <c r="NT18" s="22">
        <f t="shared" ca="1" si="11"/>
        <v>0</v>
      </c>
      <c r="NU18" s="22">
        <f t="shared" ca="1" si="11"/>
        <v>0</v>
      </c>
      <c r="NV18" s="52"/>
      <c r="NX18" s="29"/>
      <c r="NY18" s="60"/>
    </row>
    <row r="19" spans="1:389" ht="15" customHeight="1">
      <c r="A19" s="45"/>
      <c r="B19" s="1"/>
      <c r="C19" s="1"/>
      <c r="D19" s="1"/>
      <c r="E19" s="1"/>
      <c r="F19" s="1"/>
      <c r="G19" s="1"/>
      <c r="H19" s="3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43"/>
      <c r="BP19" s="43"/>
      <c r="BQ19" s="43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57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38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41">
        <f t="array" aca="1" ref="NJ19" ca="1">SUMPRODUCT((OFFSET($A19,0,31*($A$3-1)+1,1,31)&lt;&gt;"")*(IF(OFFSET($A19,0,31*($A$3-1)+1,1,31)=$NY$43,0.5,IF(OFFSET($A19,0,31*($A$3-1)+1,1,31)=$NY$44,0.5,1))*(OFFSET($A$4,0,31*($A$3-1)+1,1,31))))</f>
        <v>0</v>
      </c>
      <c r="NK19" s="42">
        <f t="array" aca="1" ref="NK19" ca="1">SUMPRODUCT((OFFSET($A19,0,1,1,372)&lt;&gt;"")*(IF(OFFSET($A19,0,1,1,372)=$NY$43,0.5,IF(OFFSET($A19,0,1,1,372)=$NY$44,0.5,1))*(OFFSET($A$3,0,1,1,372))))</f>
        <v>0</v>
      </c>
      <c r="NL19" s="22">
        <f t="shared" ca="1" si="12"/>
        <v>0</v>
      </c>
      <c r="NM19" s="22">
        <f t="shared" ca="1" si="12"/>
        <v>0</v>
      </c>
      <c r="NN19" s="22">
        <f t="shared" ca="1" si="11"/>
        <v>0</v>
      </c>
      <c r="NO19" s="22">
        <f t="shared" ca="1" si="11"/>
        <v>0</v>
      </c>
      <c r="NP19" s="22">
        <f t="shared" ca="1" si="11"/>
        <v>0</v>
      </c>
      <c r="NQ19" s="22">
        <f t="shared" ca="1" si="11"/>
        <v>0</v>
      </c>
      <c r="NR19" s="22">
        <f t="shared" ca="1" si="11"/>
        <v>0</v>
      </c>
      <c r="NS19" s="22">
        <f t="shared" ca="1" si="11"/>
        <v>0</v>
      </c>
      <c r="NT19" s="22">
        <f t="shared" ca="1" si="11"/>
        <v>0</v>
      </c>
      <c r="NU19" s="22">
        <f t="shared" ca="1" si="11"/>
        <v>0</v>
      </c>
      <c r="NV19" s="52"/>
      <c r="NX19" s="29"/>
      <c r="NY19" s="60"/>
    </row>
    <row r="20" spans="1:389" ht="14.25">
      <c r="A20" s="45"/>
      <c r="B20" s="1"/>
      <c r="C20" s="1"/>
      <c r="D20" s="1"/>
      <c r="E20" s="1"/>
      <c r="F20" s="1"/>
      <c r="G20" s="1"/>
      <c r="H20" s="3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43"/>
      <c r="BP20" s="43"/>
      <c r="BQ20" s="43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57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38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41">
        <f t="array" aca="1" ref="NJ20" ca="1">SUMPRODUCT((OFFSET($A20,0,31*($A$3-1)+1,1,31)&lt;&gt;"")*(IF(OFFSET($A20,0,31*($A$3-1)+1,1,31)=$NY$43,0.5,IF(OFFSET($A20,0,31*($A$3-1)+1,1,31)=$NY$44,0.5,1))*(OFFSET($A$4,0,31*($A$3-1)+1,1,31))))</f>
        <v>0</v>
      </c>
      <c r="NK20" s="42">
        <f t="array" aca="1" ref="NK20" ca="1">SUMPRODUCT((OFFSET($A20,0,1,1,372)&lt;&gt;"")*(IF(OFFSET($A20,0,1,1,372)=$NY$43,0.5,IF(OFFSET($A20,0,1,1,372)=$NY$44,0.5,1))*(OFFSET($A$3,0,1,1,372))))</f>
        <v>0</v>
      </c>
      <c r="NL20" s="22">
        <f t="shared" ca="1" si="12"/>
        <v>0</v>
      </c>
      <c r="NM20" s="22">
        <f t="shared" ca="1" si="12"/>
        <v>0</v>
      </c>
      <c r="NN20" s="22">
        <f t="shared" ca="1" si="11"/>
        <v>0</v>
      </c>
      <c r="NO20" s="22">
        <f t="shared" ca="1" si="11"/>
        <v>0</v>
      </c>
      <c r="NP20" s="22">
        <f t="shared" ca="1" si="11"/>
        <v>0</v>
      </c>
      <c r="NQ20" s="22">
        <f t="shared" ca="1" si="11"/>
        <v>0</v>
      </c>
      <c r="NR20" s="22">
        <f t="shared" ca="1" si="11"/>
        <v>0</v>
      </c>
      <c r="NS20" s="22">
        <f t="shared" ca="1" si="11"/>
        <v>0</v>
      </c>
      <c r="NT20" s="22">
        <f t="shared" ca="1" si="11"/>
        <v>0</v>
      </c>
      <c r="NU20" s="22">
        <f t="shared" ca="1" si="11"/>
        <v>0</v>
      </c>
      <c r="NV20" s="52"/>
      <c r="NX20" s="29"/>
      <c r="NY20" s="60"/>
    </row>
    <row r="21" spans="1:389" ht="14.25">
      <c r="A21" s="45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43"/>
      <c r="BP21" s="43"/>
      <c r="BQ21" s="43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57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38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41">
        <f t="array" aca="1" ref="NJ21" ca="1">SUMPRODUCT((OFFSET($A21,0,31*($A$3-1)+1,1,31)&lt;&gt;"")*(IF(OFFSET($A21,0,31*($A$3-1)+1,1,31)=$NY$43,0.5,IF(OFFSET($A21,0,31*($A$3-1)+1,1,31)=$NY$44,0.5,1))*(OFFSET($A$4,0,31*($A$3-1)+1,1,31))))</f>
        <v>0</v>
      </c>
      <c r="NK21" s="42">
        <f t="array" aca="1" ref="NK21" ca="1">SUMPRODUCT((OFFSET($A21,0,1,1,372)&lt;&gt;"")*(IF(OFFSET($A21,0,1,1,372)=$NY$43,0.5,IF(OFFSET($A21,0,1,1,372)=$NY$44,0.5,1))*(OFFSET($A$3,0,1,1,372))))</f>
        <v>0</v>
      </c>
      <c r="NL21" s="22">
        <f t="shared" ca="1" si="12"/>
        <v>0</v>
      </c>
      <c r="NM21" s="22">
        <f t="shared" ca="1" si="12"/>
        <v>0</v>
      </c>
      <c r="NN21" s="22">
        <f t="shared" ca="1" si="11"/>
        <v>0</v>
      </c>
      <c r="NO21" s="22">
        <f t="shared" ca="1" si="11"/>
        <v>0</v>
      </c>
      <c r="NP21" s="22">
        <f t="shared" ca="1" si="11"/>
        <v>0</v>
      </c>
      <c r="NQ21" s="22">
        <f t="shared" ca="1" si="11"/>
        <v>0</v>
      </c>
      <c r="NR21" s="22">
        <f t="shared" ca="1" si="11"/>
        <v>0</v>
      </c>
      <c r="NS21" s="22">
        <f t="shared" ca="1" si="11"/>
        <v>0</v>
      </c>
      <c r="NT21" s="22">
        <f t="shared" ca="1" si="11"/>
        <v>0</v>
      </c>
      <c r="NU21" s="22">
        <f t="shared" ca="1" si="11"/>
        <v>0</v>
      </c>
      <c r="NV21" s="52"/>
      <c r="NX21" s="29"/>
      <c r="NY21" s="60"/>
    </row>
    <row r="22" spans="1:389" ht="14.25">
      <c r="A22" s="45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43"/>
      <c r="BP22" s="43"/>
      <c r="BQ22" s="43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57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38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41">
        <f t="array" aca="1" ref="NJ22" ca="1">SUMPRODUCT((OFFSET($A22,0,31*($A$3-1)+1,1,31)&lt;&gt;"")*(IF(OFFSET($A22,0,31*($A$3-1)+1,1,31)=$NY$43,0.5,IF(OFFSET($A22,0,31*($A$3-1)+1,1,31)=$NY$44,0.5,1))*(OFFSET($A$4,0,31*($A$3-1)+1,1,31))))</f>
        <v>0</v>
      </c>
      <c r="NK22" s="42">
        <f t="array" aca="1" ref="NK22" ca="1">SUMPRODUCT((OFFSET($A22,0,1,1,372)&lt;&gt;"")*(IF(OFFSET($A22,0,1,1,372)=$NY$43,0.5,IF(OFFSET($A22,0,1,1,372)=$NY$44,0.5,1))*(OFFSET($A$3,0,1,1,372))))</f>
        <v>0</v>
      </c>
      <c r="NL22" s="22">
        <f t="shared" ca="1" si="12"/>
        <v>0</v>
      </c>
      <c r="NM22" s="22">
        <f t="shared" ca="1" si="12"/>
        <v>0</v>
      </c>
      <c r="NN22" s="22">
        <f t="shared" ca="1" si="11"/>
        <v>0</v>
      </c>
      <c r="NO22" s="22">
        <f t="shared" ca="1" si="11"/>
        <v>0</v>
      </c>
      <c r="NP22" s="22">
        <f t="shared" ca="1" si="11"/>
        <v>0</v>
      </c>
      <c r="NQ22" s="22">
        <f t="shared" ca="1" si="11"/>
        <v>0</v>
      </c>
      <c r="NR22" s="22">
        <f t="shared" ca="1" si="11"/>
        <v>0</v>
      </c>
      <c r="NS22" s="22">
        <f t="shared" ca="1" si="11"/>
        <v>0</v>
      </c>
      <c r="NT22" s="22">
        <f t="shared" ca="1" si="11"/>
        <v>0</v>
      </c>
      <c r="NU22" s="22">
        <f t="shared" ca="1" si="11"/>
        <v>0</v>
      </c>
      <c r="NV22" s="52"/>
      <c r="NX22" s="29"/>
      <c r="NY22" s="60"/>
    </row>
    <row r="23" spans="1:389" ht="14.25">
      <c r="A23" s="45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43"/>
      <c r="BP23" s="43"/>
      <c r="BQ23" s="43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57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38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41">
        <f t="array" aca="1" ref="NJ23" ca="1">SUMPRODUCT((OFFSET($A23,0,31*($A$3-1)+1,1,31)&lt;&gt;"")*(IF(OFFSET($A23,0,31*($A$3-1)+1,1,31)=$NY$43,0.5,IF(OFFSET($A23,0,31*($A$3-1)+1,1,31)=$NY$44,0.5,1))*(OFFSET($A$4,0,31*($A$3-1)+1,1,31))))</f>
        <v>0</v>
      </c>
      <c r="NK23" s="42">
        <f t="array" aca="1" ref="NK23" ca="1">SUMPRODUCT((OFFSET($A23,0,1,1,372)&lt;&gt;"")*(IF(OFFSET($A23,0,1,1,372)=$NY$43,0.5,IF(OFFSET($A23,0,1,1,372)=$NY$44,0.5,1))*(OFFSET($A$3,0,1,1,372))))</f>
        <v>0</v>
      </c>
      <c r="NL23" s="22">
        <f t="shared" ca="1" si="12"/>
        <v>0</v>
      </c>
      <c r="NM23" s="22">
        <f t="shared" ca="1" si="12"/>
        <v>0</v>
      </c>
      <c r="NN23" s="22">
        <f t="shared" ca="1" si="11"/>
        <v>0</v>
      </c>
      <c r="NO23" s="22">
        <f t="shared" ca="1" si="11"/>
        <v>0</v>
      </c>
      <c r="NP23" s="22">
        <f t="shared" ca="1" si="11"/>
        <v>0</v>
      </c>
      <c r="NQ23" s="22">
        <f t="shared" ca="1" si="11"/>
        <v>0</v>
      </c>
      <c r="NR23" s="22">
        <f t="shared" ca="1" si="11"/>
        <v>0</v>
      </c>
      <c r="NS23" s="22">
        <f t="shared" ca="1" si="11"/>
        <v>0</v>
      </c>
      <c r="NT23" s="22">
        <f t="shared" ca="1" si="11"/>
        <v>0</v>
      </c>
      <c r="NU23" s="22">
        <f t="shared" ca="1" si="11"/>
        <v>0</v>
      </c>
      <c r="NV23" s="52"/>
      <c r="NX23" s="29"/>
      <c r="NY23" s="60"/>
    </row>
    <row r="24" spans="1:389" ht="14.25" customHeight="1">
      <c r="A24" s="45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43"/>
      <c r="BP24" s="43"/>
      <c r="BQ24" s="43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57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41">
        <f t="array" aca="1" ref="NJ24" ca="1">SUMPRODUCT((OFFSET($A24,0,31*($A$3-1)+1,1,31)&lt;&gt;"")*(IF(OFFSET($A24,0,31*($A$3-1)+1,1,31)=$NY$43,0.5,IF(OFFSET($A24,0,31*($A$3-1)+1,1,31)=$NY$44,0.5,1))*(OFFSET($A$4,0,31*($A$3-1)+1,1,31))))</f>
        <v>0</v>
      </c>
      <c r="NK24" s="42">
        <f t="array" aca="1" ref="NK24" ca="1">SUMPRODUCT((OFFSET($A24,0,1,1,372)&lt;&gt;"")*(IF(OFFSET($A24,0,1,1,372)=$NY$43,0.5,IF(OFFSET($A24,0,1,1,372)=$NY$44,0.5,1))*(OFFSET($A$3,0,1,1,372))))</f>
        <v>0</v>
      </c>
      <c r="NL24" s="22">
        <f t="shared" ca="1" si="12"/>
        <v>0</v>
      </c>
      <c r="NM24" s="22">
        <f t="shared" ca="1" si="12"/>
        <v>0</v>
      </c>
      <c r="NN24" s="22">
        <f t="shared" ca="1" si="11"/>
        <v>0</v>
      </c>
      <c r="NO24" s="22">
        <f t="shared" ca="1" si="11"/>
        <v>0</v>
      </c>
      <c r="NP24" s="22">
        <f t="shared" ca="1" si="11"/>
        <v>0</v>
      </c>
      <c r="NQ24" s="22">
        <f t="shared" ca="1" si="11"/>
        <v>0</v>
      </c>
      <c r="NR24" s="22">
        <f t="shared" ca="1" si="11"/>
        <v>0</v>
      </c>
      <c r="NS24" s="22">
        <f t="shared" ca="1" si="11"/>
        <v>0</v>
      </c>
      <c r="NT24" s="22">
        <f t="shared" ca="1" si="11"/>
        <v>0</v>
      </c>
      <c r="NU24" s="22">
        <f t="shared" ca="1" si="11"/>
        <v>0</v>
      </c>
      <c r="NV24" s="52"/>
      <c r="NX24" s="29"/>
      <c r="NY24" s="61"/>
    </row>
    <row r="25" spans="1:389" ht="14.25" customHeight="1">
      <c r="A25" s="34"/>
      <c r="B25" s="1"/>
      <c r="C25" s="1"/>
      <c r="D25" s="1"/>
      <c r="E25" s="1"/>
      <c r="F25" s="1"/>
      <c r="G25" s="1"/>
      <c r="H25" s="3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57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38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41">
        <f t="array" aca="1" ref="NJ25" ca="1">SUMPRODUCT((OFFSET($A25,0,31*($A$3-1)+1,1,31)&lt;&gt;"")*(IF(OFFSET($A25,0,31*($A$3-1)+1,1,31)=$NY$43,0.5,IF(OFFSET($A25,0,31*($A$3-1)+1,1,31)=$NY$44,0.5,1))*(OFFSET($A$4,0,31*($A$3-1)+1,1,31))))</f>
        <v>0</v>
      </c>
      <c r="NK25" s="42">
        <f t="array" aca="1" ref="NK25" ca="1">SUMPRODUCT((OFFSET($A25,0,1,1,372)&lt;&gt;"")*(IF(OFFSET($A25,0,1,1,372)=$NY$43,0.5,IF(OFFSET($A25,0,1,1,372)=$NY$44,0.5,1))*(OFFSET($A$3,0,1,1,372))))</f>
        <v>0</v>
      </c>
      <c r="NL25" s="22">
        <f t="shared" ref="NL25:NU25" ca="1" si="13">SUMPRODUCT((OFFSET($A25,0,1,1,372)&lt;&gt;"")*(OFFSET($A$3,0,1,1,372))*((OFFSET($A25,0,1,1,372))=NL$5))</f>
        <v>0</v>
      </c>
      <c r="NM25" s="22">
        <f t="shared" ca="1" si="13"/>
        <v>0</v>
      </c>
      <c r="NN25" s="22">
        <f t="shared" ca="1" si="13"/>
        <v>0</v>
      </c>
      <c r="NO25" s="22">
        <f t="shared" ca="1" si="13"/>
        <v>0</v>
      </c>
      <c r="NP25" s="22">
        <f t="shared" ca="1" si="13"/>
        <v>0</v>
      </c>
      <c r="NQ25" s="22">
        <f t="shared" ca="1" si="13"/>
        <v>0</v>
      </c>
      <c r="NR25" s="22">
        <f t="shared" ca="1" si="13"/>
        <v>0</v>
      </c>
      <c r="NS25" s="22">
        <f t="shared" ca="1" si="13"/>
        <v>0</v>
      </c>
      <c r="NT25" s="22">
        <f t="shared" ca="1" si="13"/>
        <v>0</v>
      </c>
      <c r="NU25" s="22">
        <f t="shared" ca="1" si="13"/>
        <v>0</v>
      </c>
      <c r="NV25" s="52"/>
      <c r="NX25" s="33"/>
      <c r="NY25" s="44"/>
    </row>
    <row r="26" spans="1:389" ht="14.25" customHeight="1">
      <c r="A26" s="34"/>
      <c r="B26" s="1"/>
      <c r="C26" s="1"/>
      <c r="D26" s="1"/>
      <c r="E26" s="1"/>
      <c r="F26" s="1"/>
      <c r="G26" s="1"/>
      <c r="H26" s="3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57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38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SUMPRODUCT((OFFSET($A26,0,31*($A$3-1)+1,1,31)&lt;&gt;"")*(IF(OFFSET($A26,0,31*($A$3-1)+1,1,31)=$NY$43,0.5,IF(OFFSET($A26,0,31*($A$3-1)+1,1,31)=$NY$44,0.5,1))*(OFFSET($A$4,0,31*($A$3-1)+1,1,31))))</f>
        <v>0</v>
      </c>
      <c r="NK26" s="42">
        <f t="array" aca="1" ref="NK26" ca="1">SUMPRODUCT((OFFSET($A26,0,1,1,372)&lt;&gt;"")*(IF(OFFSET($A26,0,1,1,372)=$NY$43,0.5,IF(OFFSET($A26,0,1,1,372)=$NY$44,0.5,1))*(OFFSET($A$3,0,1,1,372))))</f>
        <v>0</v>
      </c>
      <c r="NL26" s="22">
        <f t="shared" ref="NL26:NU26" ca="1" si="14">SUMPRODUCT((OFFSET($A26,0,1,1,372)&lt;&gt;"")*(OFFSET($A$3,0,1,1,372))*((OFFSET($A26,0,1,1,372))=NL$5))</f>
        <v>0</v>
      </c>
      <c r="NM26" s="22">
        <f t="shared" ca="1" si="14"/>
        <v>0</v>
      </c>
      <c r="NN26" s="22">
        <f t="shared" ca="1" si="14"/>
        <v>0</v>
      </c>
      <c r="NO26" s="22">
        <f t="shared" ca="1" si="14"/>
        <v>0</v>
      </c>
      <c r="NP26" s="22">
        <f t="shared" ca="1" si="14"/>
        <v>0</v>
      </c>
      <c r="NQ26" s="22">
        <f t="shared" ca="1" si="14"/>
        <v>0</v>
      </c>
      <c r="NR26" s="22">
        <f t="shared" ca="1" si="14"/>
        <v>0</v>
      </c>
      <c r="NS26" s="22">
        <f t="shared" ca="1" si="14"/>
        <v>0</v>
      </c>
      <c r="NT26" s="22">
        <f t="shared" ca="1" si="14"/>
        <v>0</v>
      </c>
      <c r="NU26" s="22">
        <f t="shared" ca="1" si="14"/>
        <v>0</v>
      </c>
      <c r="NV26" s="52"/>
      <c r="NX26" s="33"/>
      <c r="NY26" s="44"/>
    </row>
    <row r="27" spans="1:389" ht="14.25" customHeight="1">
      <c r="A27" s="34"/>
      <c r="B27" s="1"/>
      <c r="C27" s="1"/>
      <c r="D27" s="1"/>
      <c r="E27" s="1"/>
      <c r="F27" s="1"/>
      <c r="G27" s="1"/>
      <c r="H27" s="3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57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38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4">
        <f t="array" aca="1" ref="NJ27" ca="1">SUMPRODUCT((OFFSET($A27,0,31*($A$3-1)+1,1,31)&lt;&gt;"")*(IF(OFFSET($A27,0,31*($A$3-1)+1,1,31)=$NY$43,0.5,IF(OFFSET($A27,0,31*($A$3-1)+1,1,31)=$NY$44,0.5,1))*(OFFSET($A$4,0,31*($A$3-1)+1,1,31))))</f>
        <v>0</v>
      </c>
      <c r="NK27" s="42">
        <f t="array" aca="1" ref="NK27" ca="1">SUMPRODUCT((OFFSET($A27,0,1,1,372)&lt;&gt;"")*(IF(OFFSET($A27,0,1,1,372)=$NY$43,0.5,IF(OFFSET($A27,0,1,1,372)=$NY$44,0.5,1))*(OFFSET($A$3,0,1,1,372))))</f>
        <v>0</v>
      </c>
      <c r="NL27" s="22">
        <f t="shared" ref="NL27:NU27" ca="1" si="15">SUMPRODUCT((OFFSET($A27,0,1,1,372)&lt;&gt;"")*(OFFSET($A$3,0,1,1,372))*((OFFSET($A27,0,1,1,372))=NL$5))</f>
        <v>0</v>
      </c>
      <c r="NM27" s="22">
        <f t="shared" ca="1" si="15"/>
        <v>0</v>
      </c>
      <c r="NN27" s="22">
        <f t="shared" ca="1" si="15"/>
        <v>0</v>
      </c>
      <c r="NO27" s="22">
        <f t="shared" ca="1" si="15"/>
        <v>0</v>
      </c>
      <c r="NP27" s="22">
        <f t="shared" ca="1" si="15"/>
        <v>0</v>
      </c>
      <c r="NQ27" s="22">
        <f t="shared" ca="1" si="15"/>
        <v>0</v>
      </c>
      <c r="NR27" s="22">
        <f t="shared" ca="1" si="15"/>
        <v>0</v>
      </c>
      <c r="NS27" s="22">
        <f t="shared" ca="1" si="15"/>
        <v>0</v>
      </c>
      <c r="NT27" s="22">
        <f t="shared" ca="1" si="15"/>
        <v>0</v>
      </c>
      <c r="NU27" s="22">
        <f t="shared" ca="1" si="15"/>
        <v>0</v>
      </c>
      <c r="NV27" s="52"/>
      <c r="NX27" s="33"/>
      <c r="NY27" s="44"/>
    </row>
    <row r="28" spans="1:389" ht="14.25">
      <c r="A28" s="34"/>
      <c r="B28" s="1"/>
      <c r="C28" s="1"/>
      <c r="D28" s="1"/>
      <c r="E28" s="1"/>
      <c r="F28" s="1"/>
      <c r="G28" s="1"/>
      <c r="H28" s="3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57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38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4">
        <f t="array" aca="1" ref="NJ28" ca="1">SUMPRODUCT((OFFSET($A28,0,31*($A$3-1)+1,1,31)&lt;&gt;"")*(IF(OFFSET($A28,0,31*($A$3-1)+1,1,31)=$NY$43,0.5,IF(OFFSET($A28,0,31*($A$3-1)+1,1,31)=$NY$44,0.5,1))*(OFFSET($A$4,0,31*($A$3-1)+1,1,31))))</f>
        <v>0</v>
      </c>
      <c r="NK28" s="42">
        <f t="array" aca="1" ref="NK28" ca="1">SUMPRODUCT((OFFSET($A28,0,1,1,372)&lt;&gt;"")*(IF(OFFSET($A28,0,1,1,372)=$NY$43,0.5,IF(OFFSET($A28,0,1,1,372)=$NY$44,0.5,1))*(OFFSET($A$3,0,1,1,372))))</f>
        <v>0</v>
      </c>
      <c r="NL28" s="22">
        <f t="shared" ref="NL28:NU28" ca="1" si="16">SUMPRODUCT((OFFSET($A28,0,1,1,372)&lt;&gt;"")*(OFFSET($A$3,0,1,1,372))*((OFFSET($A28,0,1,1,372))=NL$5))</f>
        <v>0</v>
      </c>
      <c r="NM28" s="22">
        <f t="shared" ca="1" si="16"/>
        <v>0</v>
      </c>
      <c r="NN28" s="22">
        <f t="shared" ca="1" si="16"/>
        <v>0</v>
      </c>
      <c r="NO28" s="22">
        <f t="shared" ca="1" si="16"/>
        <v>0</v>
      </c>
      <c r="NP28" s="22">
        <f t="shared" ca="1" si="16"/>
        <v>0</v>
      </c>
      <c r="NQ28" s="22">
        <f t="shared" ca="1" si="16"/>
        <v>0</v>
      </c>
      <c r="NR28" s="22">
        <f t="shared" ca="1" si="16"/>
        <v>0</v>
      </c>
      <c r="NS28" s="22">
        <f t="shared" ca="1" si="16"/>
        <v>0</v>
      </c>
      <c r="NT28" s="22">
        <f t="shared" ca="1" si="16"/>
        <v>0</v>
      </c>
      <c r="NU28" s="22">
        <f t="shared" ca="1" si="16"/>
        <v>0</v>
      </c>
      <c r="NV28" s="52"/>
      <c r="NX28" s="33"/>
      <c r="NY28" s="44"/>
    </row>
    <row r="30" spans="1:389" s="47" customFormat="1">
      <c r="A30" s="48" t="s">
        <v>35</v>
      </c>
      <c r="B30" s="48">
        <f t="shared" ref="B30:BM30" si="17">COUNTA(B9:B28)</f>
        <v>0</v>
      </c>
      <c r="C30" s="48">
        <f t="shared" si="17"/>
        <v>0</v>
      </c>
      <c r="D30" s="48">
        <f t="shared" si="17"/>
        <v>0</v>
      </c>
      <c r="E30" s="48">
        <f t="shared" si="17"/>
        <v>0</v>
      </c>
      <c r="F30" s="48">
        <f t="shared" si="17"/>
        <v>1</v>
      </c>
      <c r="G30" s="48">
        <f t="shared" si="17"/>
        <v>0</v>
      </c>
      <c r="H30" s="48">
        <f t="shared" si="17"/>
        <v>0</v>
      </c>
      <c r="I30" s="48">
        <f t="shared" si="17"/>
        <v>0</v>
      </c>
      <c r="J30" s="48">
        <f t="shared" si="17"/>
        <v>0</v>
      </c>
      <c r="K30" s="48">
        <f t="shared" si="17"/>
        <v>0</v>
      </c>
      <c r="L30" s="48">
        <f t="shared" si="17"/>
        <v>0</v>
      </c>
      <c r="M30" s="48">
        <f t="shared" si="17"/>
        <v>0</v>
      </c>
      <c r="N30" s="48">
        <f t="shared" si="17"/>
        <v>0</v>
      </c>
      <c r="O30" s="48">
        <f t="shared" si="17"/>
        <v>1</v>
      </c>
      <c r="P30" s="48">
        <f t="shared" si="17"/>
        <v>0</v>
      </c>
      <c r="Q30" s="48">
        <f t="shared" si="17"/>
        <v>0</v>
      </c>
      <c r="R30" s="48">
        <f t="shared" si="17"/>
        <v>0</v>
      </c>
      <c r="S30" s="48">
        <f t="shared" si="17"/>
        <v>0</v>
      </c>
      <c r="T30" s="48">
        <f t="shared" si="17"/>
        <v>1</v>
      </c>
      <c r="U30" s="48">
        <f t="shared" si="17"/>
        <v>0</v>
      </c>
      <c r="V30" s="48">
        <f t="shared" si="17"/>
        <v>1</v>
      </c>
      <c r="W30" s="48">
        <f t="shared" si="17"/>
        <v>1</v>
      </c>
      <c r="X30" s="48">
        <f t="shared" si="17"/>
        <v>1</v>
      </c>
      <c r="Y30" s="48">
        <f t="shared" si="17"/>
        <v>0</v>
      </c>
      <c r="Z30" s="48">
        <f t="shared" si="17"/>
        <v>0</v>
      </c>
      <c r="AA30" s="48">
        <f t="shared" si="17"/>
        <v>0</v>
      </c>
      <c r="AB30" s="48">
        <f t="shared" si="17"/>
        <v>1</v>
      </c>
      <c r="AC30" s="48">
        <f t="shared" si="17"/>
        <v>0</v>
      </c>
      <c r="AD30" s="48">
        <f t="shared" si="17"/>
        <v>0</v>
      </c>
      <c r="AE30" s="48">
        <f t="shared" si="17"/>
        <v>0</v>
      </c>
      <c r="AF30" s="48">
        <f t="shared" si="17"/>
        <v>0</v>
      </c>
      <c r="AG30" s="48">
        <f t="shared" si="17"/>
        <v>0</v>
      </c>
      <c r="AH30" s="48">
        <f t="shared" si="17"/>
        <v>1</v>
      </c>
      <c r="AI30" s="48">
        <f t="shared" si="17"/>
        <v>0</v>
      </c>
      <c r="AJ30" s="48">
        <f t="shared" si="17"/>
        <v>0</v>
      </c>
      <c r="AK30" s="48">
        <f t="shared" si="17"/>
        <v>0</v>
      </c>
      <c r="AL30" s="48">
        <f t="shared" si="17"/>
        <v>2</v>
      </c>
      <c r="AM30" s="48">
        <f t="shared" si="17"/>
        <v>0</v>
      </c>
      <c r="AN30" s="48">
        <f t="shared" si="17"/>
        <v>0</v>
      </c>
      <c r="AO30" s="48">
        <f t="shared" si="17"/>
        <v>1</v>
      </c>
      <c r="AP30" s="48">
        <f t="shared" si="17"/>
        <v>1</v>
      </c>
      <c r="AQ30" s="48">
        <f t="shared" si="17"/>
        <v>0</v>
      </c>
      <c r="AR30" s="48">
        <f t="shared" si="17"/>
        <v>0</v>
      </c>
      <c r="AS30" s="48">
        <f t="shared" si="17"/>
        <v>2</v>
      </c>
      <c r="AT30" s="48">
        <f t="shared" si="17"/>
        <v>0</v>
      </c>
      <c r="AU30" s="48">
        <f t="shared" si="17"/>
        <v>0</v>
      </c>
      <c r="AV30" s="48">
        <f t="shared" si="17"/>
        <v>1</v>
      </c>
      <c r="AW30" s="48">
        <f t="shared" si="17"/>
        <v>0</v>
      </c>
      <c r="AX30" s="48">
        <f t="shared" si="17"/>
        <v>0</v>
      </c>
      <c r="AY30" s="48">
        <f t="shared" si="17"/>
        <v>0</v>
      </c>
      <c r="AZ30" s="48">
        <f t="shared" si="17"/>
        <v>2</v>
      </c>
      <c r="BA30" s="48">
        <f t="shared" si="17"/>
        <v>0</v>
      </c>
      <c r="BB30" s="48">
        <f t="shared" si="17"/>
        <v>0</v>
      </c>
      <c r="BC30" s="48">
        <f t="shared" si="17"/>
        <v>2</v>
      </c>
      <c r="BD30" s="48">
        <f t="shared" si="17"/>
        <v>3</v>
      </c>
      <c r="BE30" s="48">
        <f t="shared" si="17"/>
        <v>0</v>
      </c>
      <c r="BF30" s="48">
        <f t="shared" si="17"/>
        <v>0</v>
      </c>
      <c r="BG30" s="48">
        <f t="shared" si="17"/>
        <v>0</v>
      </c>
      <c r="BH30" s="48">
        <f t="shared" si="17"/>
        <v>0</v>
      </c>
      <c r="BI30" s="48">
        <f t="shared" si="17"/>
        <v>0</v>
      </c>
      <c r="BJ30" s="48">
        <f t="shared" si="17"/>
        <v>0</v>
      </c>
      <c r="BK30" s="48">
        <f t="shared" si="17"/>
        <v>0</v>
      </c>
      <c r="BL30" s="48">
        <f t="shared" si="17"/>
        <v>0</v>
      </c>
      <c r="BM30" s="48">
        <f t="shared" si="17"/>
        <v>0</v>
      </c>
      <c r="BN30" s="48">
        <f t="shared" ref="BN30:DY30" si="18">COUNTA(BN9:BN28)</f>
        <v>0</v>
      </c>
      <c r="BO30" s="48">
        <f t="shared" si="18"/>
        <v>0</v>
      </c>
      <c r="BP30" s="48">
        <f t="shared" si="18"/>
        <v>0</v>
      </c>
      <c r="BQ30" s="48">
        <f t="shared" si="18"/>
        <v>0</v>
      </c>
      <c r="BR30" s="48">
        <f t="shared" si="18"/>
        <v>0</v>
      </c>
      <c r="BS30" s="48">
        <f t="shared" si="18"/>
        <v>0</v>
      </c>
      <c r="BT30" s="48">
        <f t="shared" si="18"/>
        <v>0</v>
      </c>
      <c r="BU30" s="48">
        <f t="shared" si="18"/>
        <v>0</v>
      </c>
      <c r="BV30" s="48">
        <f t="shared" si="18"/>
        <v>0</v>
      </c>
      <c r="BW30" s="48">
        <f t="shared" si="18"/>
        <v>1</v>
      </c>
      <c r="BX30" s="48">
        <f t="shared" si="18"/>
        <v>1</v>
      </c>
      <c r="BY30" s="48">
        <f t="shared" si="18"/>
        <v>0</v>
      </c>
      <c r="BZ30" s="48">
        <f t="shared" si="18"/>
        <v>0</v>
      </c>
      <c r="CA30" s="48">
        <f t="shared" si="18"/>
        <v>1</v>
      </c>
      <c r="CB30" s="48">
        <f t="shared" si="18"/>
        <v>0</v>
      </c>
      <c r="CC30" s="48">
        <f t="shared" si="18"/>
        <v>1</v>
      </c>
      <c r="CD30" s="48">
        <f t="shared" si="18"/>
        <v>1</v>
      </c>
      <c r="CE30" s="48">
        <f t="shared" si="18"/>
        <v>0</v>
      </c>
      <c r="CF30" s="48">
        <f t="shared" si="18"/>
        <v>0</v>
      </c>
      <c r="CG30" s="48">
        <f t="shared" si="18"/>
        <v>0</v>
      </c>
      <c r="CH30" s="48">
        <f t="shared" si="18"/>
        <v>0</v>
      </c>
      <c r="CI30" s="48">
        <f t="shared" si="18"/>
        <v>0</v>
      </c>
      <c r="CJ30" s="48">
        <f t="shared" si="18"/>
        <v>2</v>
      </c>
      <c r="CK30" s="48">
        <f t="shared" si="18"/>
        <v>0</v>
      </c>
      <c r="CL30" s="48">
        <f t="shared" si="18"/>
        <v>1</v>
      </c>
      <c r="CM30" s="48">
        <f t="shared" si="18"/>
        <v>0</v>
      </c>
      <c r="CN30" s="48">
        <f t="shared" si="18"/>
        <v>0</v>
      </c>
      <c r="CO30" s="48">
        <f t="shared" si="18"/>
        <v>0</v>
      </c>
      <c r="CP30" s="48">
        <f t="shared" si="18"/>
        <v>1</v>
      </c>
      <c r="CQ30" s="48">
        <f t="shared" si="18"/>
        <v>1</v>
      </c>
      <c r="CR30" s="48">
        <f t="shared" si="18"/>
        <v>1</v>
      </c>
      <c r="CS30" s="48">
        <f t="shared" si="18"/>
        <v>0</v>
      </c>
      <c r="CT30" s="48">
        <f t="shared" si="18"/>
        <v>0</v>
      </c>
      <c r="CU30" s="48">
        <f t="shared" si="18"/>
        <v>0</v>
      </c>
      <c r="CV30" s="48">
        <f t="shared" si="18"/>
        <v>1</v>
      </c>
      <c r="CW30" s="48">
        <f t="shared" si="18"/>
        <v>1</v>
      </c>
      <c r="CX30" s="48">
        <f t="shared" si="18"/>
        <v>1</v>
      </c>
      <c r="CY30" s="48">
        <f t="shared" si="18"/>
        <v>1</v>
      </c>
      <c r="CZ30" s="48">
        <f t="shared" si="18"/>
        <v>1</v>
      </c>
      <c r="DA30" s="48">
        <f t="shared" si="18"/>
        <v>0</v>
      </c>
      <c r="DB30" s="48">
        <f t="shared" si="18"/>
        <v>0</v>
      </c>
      <c r="DC30" s="48">
        <f t="shared" si="18"/>
        <v>1</v>
      </c>
      <c r="DD30" s="48">
        <f t="shared" si="18"/>
        <v>0</v>
      </c>
      <c r="DE30" s="48">
        <f t="shared" si="18"/>
        <v>0</v>
      </c>
      <c r="DF30" s="48">
        <f t="shared" si="18"/>
        <v>0</v>
      </c>
      <c r="DG30" s="48">
        <f t="shared" si="18"/>
        <v>0</v>
      </c>
      <c r="DH30" s="48">
        <f t="shared" si="18"/>
        <v>0</v>
      </c>
      <c r="DI30" s="48">
        <f t="shared" si="18"/>
        <v>0</v>
      </c>
      <c r="DJ30" s="48">
        <f t="shared" si="18"/>
        <v>0</v>
      </c>
      <c r="DK30" s="48">
        <f t="shared" si="18"/>
        <v>0</v>
      </c>
      <c r="DL30" s="48">
        <f t="shared" si="18"/>
        <v>0</v>
      </c>
      <c r="DM30" s="48">
        <f t="shared" si="18"/>
        <v>0</v>
      </c>
      <c r="DN30" s="48">
        <f t="shared" si="18"/>
        <v>0</v>
      </c>
      <c r="DO30" s="48">
        <f t="shared" si="18"/>
        <v>0</v>
      </c>
      <c r="DP30" s="48">
        <f t="shared" si="18"/>
        <v>0</v>
      </c>
      <c r="DQ30" s="48">
        <f t="shared" si="18"/>
        <v>0</v>
      </c>
      <c r="DR30" s="48">
        <f t="shared" si="18"/>
        <v>0</v>
      </c>
      <c r="DS30" s="48">
        <f t="shared" si="18"/>
        <v>1</v>
      </c>
      <c r="DT30" s="48">
        <f t="shared" si="18"/>
        <v>0</v>
      </c>
      <c r="DU30" s="48">
        <f t="shared" si="18"/>
        <v>0</v>
      </c>
      <c r="DV30" s="48">
        <f t="shared" si="18"/>
        <v>0</v>
      </c>
      <c r="DW30" s="48">
        <f t="shared" si="18"/>
        <v>0</v>
      </c>
      <c r="DX30" s="48">
        <f t="shared" si="18"/>
        <v>0</v>
      </c>
      <c r="DY30" s="48">
        <f t="shared" si="18"/>
        <v>0</v>
      </c>
      <c r="DZ30" s="48">
        <f t="shared" ref="DZ30:GK30" si="19">COUNTA(DZ9:DZ28)</f>
        <v>0</v>
      </c>
      <c r="EA30" s="48">
        <f t="shared" si="19"/>
        <v>0</v>
      </c>
      <c r="EB30" s="48">
        <f t="shared" si="19"/>
        <v>1</v>
      </c>
      <c r="EC30" s="48">
        <f t="shared" si="19"/>
        <v>0</v>
      </c>
      <c r="ED30" s="48">
        <f t="shared" si="19"/>
        <v>0</v>
      </c>
      <c r="EE30" s="48">
        <f t="shared" si="19"/>
        <v>0</v>
      </c>
      <c r="EF30" s="48">
        <f t="shared" si="19"/>
        <v>0</v>
      </c>
      <c r="EG30" s="48">
        <f t="shared" si="19"/>
        <v>0</v>
      </c>
      <c r="EH30" s="48">
        <f t="shared" si="19"/>
        <v>0</v>
      </c>
      <c r="EI30" s="48">
        <f t="shared" si="19"/>
        <v>1</v>
      </c>
      <c r="EJ30" s="48">
        <f t="shared" si="19"/>
        <v>2</v>
      </c>
      <c r="EK30" s="48">
        <f t="shared" si="19"/>
        <v>0</v>
      </c>
      <c r="EL30" s="48">
        <f t="shared" si="19"/>
        <v>0</v>
      </c>
      <c r="EM30" s="48">
        <f t="shared" si="19"/>
        <v>2</v>
      </c>
      <c r="EN30" s="48">
        <f t="shared" si="19"/>
        <v>0</v>
      </c>
      <c r="EO30" s="48">
        <f t="shared" si="19"/>
        <v>0</v>
      </c>
      <c r="EP30" s="48">
        <f t="shared" si="19"/>
        <v>1</v>
      </c>
      <c r="EQ30" s="48">
        <f t="shared" si="19"/>
        <v>1</v>
      </c>
      <c r="ER30" s="48">
        <f t="shared" si="19"/>
        <v>0</v>
      </c>
      <c r="ES30" s="48">
        <f t="shared" si="19"/>
        <v>0</v>
      </c>
      <c r="ET30" s="48">
        <f t="shared" si="19"/>
        <v>0</v>
      </c>
      <c r="EU30" s="48">
        <f t="shared" si="19"/>
        <v>0</v>
      </c>
      <c r="EV30" s="48">
        <f t="shared" si="19"/>
        <v>0</v>
      </c>
      <c r="EW30" s="48">
        <f t="shared" si="19"/>
        <v>1</v>
      </c>
      <c r="EX30" s="48">
        <f t="shared" si="19"/>
        <v>1</v>
      </c>
      <c r="EY30" s="48">
        <f t="shared" si="19"/>
        <v>0</v>
      </c>
      <c r="EZ30" s="48">
        <f t="shared" si="19"/>
        <v>0</v>
      </c>
      <c r="FA30" s="48">
        <f t="shared" si="19"/>
        <v>0</v>
      </c>
      <c r="FB30" s="48">
        <f t="shared" si="19"/>
        <v>0</v>
      </c>
      <c r="FC30" s="48">
        <f t="shared" si="19"/>
        <v>0</v>
      </c>
      <c r="FD30" s="48">
        <f t="shared" si="19"/>
        <v>0</v>
      </c>
      <c r="FE30" s="48">
        <f t="shared" si="19"/>
        <v>0</v>
      </c>
      <c r="FF30" s="48">
        <f t="shared" si="19"/>
        <v>0</v>
      </c>
      <c r="FG30" s="48">
        <f t="shared" si="19"/>
        <v>0</v>
      </c>
      <c r="FH30" s="48">
        <f t="shared" si="19"/>
        <v>0</v>
      </c>
      <c r="FI30" s="48">
        <f t="shared" si="19"/>
        <v>0</v>
      </c>
      <c r="FJ30" s="48">
        <f t="shared" si="19"/>
        <v>0</v>
      </c>
      <c r="FK30" s="48">
        <f t="shared" si="19"/>
        <v>0</v>
      </c>
      <c r="FL30" s="48">
        <f t="shared" si="19"/>
        <v>0</v>
      </c>
      <c r="FM30" s="48">
        <f t="shared" si="19"/>
        <v>0</v>
      </c>
      <c r="FN30" s="48">
        <f t="shared" si="19"/>
        <v>0</v>
      </c>
      <c r="FO30" s="48">
        <f t="shared" si="19"/>
        <v>0</v>
      </c>
      <c r="FP30" s="48">
        <f t="shared" si="19"/>
        <v>0</v>
      </c>
      <c r="FQ30" s="48">
        <f t="shared" si="19"/>
        <v>0</v>
      </c>
      <c r="FR30" s="48">
        <f t="shared" si="19"/>
        <v>0</v>
      </c>
      <c r="FS30" s="48">
        <f t="shared" si="19"/>
        <v>0</v>
      </c>
      <c r="FT30" s="48">
        <f t="shared" si="19"/>
        <v>0</v>
      </c>
      <c r="FU30" s="48">
        <f t="shared" si="19"/>
        <v>0</v>
      </c>
      <c r="FV30" s="48">
        <f t="shared" si="19"/>
        <v>0</v>
      </c>
      <c r="FW30" s="48">
        <f t="shared" si="19"/>
        <v>0</v>
      </c>
      <c r="FX30" s="48">
        <f t="shared" si="19"/>
        <v>0</v>
      </c>
      <c r="FY30" s="48">
        <f t="shared" si="19"/>
        <v>0</v>
      </c>
      <c r="FZ30" s="48">
        <f t="shared" si="19"/>
        <v>0</v>
      </c>
      <c r="GA30" s="48">
        <f t="shared" si="19"/>
        <v>0</v>
      </c>
      <c r="GB30" s="48">
        <f t="shared" si="19"/>
        <v>0</v>
      </c>
      <c r="GC30" s="48">
        <f t="shared" si="19"/>
        <v>0</v>
      </c>
      <c r="GD30" s="48">
        <f t="shared" si="19"/>
        <v>0</v>
      </c>
      <c r="GE30" s="48">
        <f t="shared" si="19"/>
        <v>0</v>
      </c>
      <c r="GF30" s="48">
        <f t="shared" si="19"/>
        <v>0</v>
      </c>
      <c r="GG30" s="48">
        <f t="shared" si="19"/>
        <v>0</v>
      </c>
      <c r="GH30" s="48">
        <f t="shared" si="19"/>
        <v>0</v>
      </c>
      <c r="GI30" s="48">
        <f t="shared" si="19"/>
        <v>0</v>
      </c>
      <c r="GJ30" s="48">
        <f t="shared" si="19"/>
        <v>0</v>
      </c>
      <c r="GK30" s="48">
        <f t="shared" si="19"/>
        <v>0</v>
      </c>
      <c r="GL30" s="48">
        <f t="shared" ref="GL30:IW30" si="20">COUNTA(GL9:GL28)</f>
        <v>0</v>
      </c>
      <c r="GM30" s="48">
        <f t="shared" si="20"/>
        <v>0</v>
      </c>
      <c r="GN30" s="48">
        <f t="shared" si="20"/>
        <v>0</v>
      </c>
      <c r="GO30" s="48">
        <f t="shared" si="20"/>
        <v>0</v>
      </c>
      <c r="GP30" s="48">
        <f t="shared" si="20"/>
        <v>0</v>
      </c>
      <c r="GQ30" s="48">
        <f t="shared" si="20"/>
        <v>0</v>
      </c>
      <c r="GR30" s="48">
        <f t="shared" si="20"/>
        <v>0</v>
      </c>
      <c r="GS30" s="48">
        <f t="shared" si="20"/>
        <v>0</v>
      </c>
      <c r="GT30" s="48">
        <f t="shared" si="20"/>
        <v>0</v>
      </c>
      <c r="GU30" s="48">
        <f t="shared" si="20"/>
        <v>0</v>
      </c>
      <c r="GV30" s="48">
        <f t="shared" si="20"/>
        <v>0</v>
      </c>
      <c r="GW30" s="48">
        <f t="shared" si="20"/>
        <v>0</v>
      </c>
      <c r="GX30" s="48">
        <f t="shared" si="20"/>
        <v>0</v>
      </c>
      <c r="GY30" s="48">
        <f t="shared" si="20"/>
        <v>0</v>
      </c>
      <c r="GZ30" s="48">
        <f t="shared" si="20"/>
        <v>0</v>
      </c>
      <c r="HA30" s="48">
        <f t="shared" si="20"/>
        <v>0</v>
      </c>
      <c r="HB30" s="48">
        <f t="shared" si="20"/>
        <v>0</v>
      </c>
      <c r="HC30" s="48">
        <f t="shared" si="20"/>
        <v>0</v>
      </c>
      <c r="HD30" s="48">
        <f t="shared" si="20"/>
        <v>0</v>
      </c>
      <c r="HE30" s="48">
        <f t="shared" si="20"/>
        <v>0</v>
      </c>
      <c r="HF30" s="48">
        <f t="shared" si="20"/>
        <v>0</v>
      </c>
      <c r="HG30" s="48">
        <f t="shared" si="20"/>
        <v>0</v>
      </c>
      <c r="HH30" s="48">
        <f t="shared" si="20"/>
        <v>0</v>
      </c>
      <c r="HI30" s="48">
        <f t="shared" si="20"/>
        <v>0</v>
      </c>
      <c r="HJ30" s="48">
        <f t="shared" si="20"/>
        <v>0</v>
      </c>
      <c r="HK30" s="48">
        <f t="shared" si="20"/>
        <v>0</v>
      </c>
      <c r="HL30" s="48">
        <f t="shared" si="20"/>
        <v>0</v>
      </c>
      <c r="HM30" s="48">
        <f t="shared" si="20"/>
        <v>0</v>
      </c>
      <c r="HN30" s="48">
        <f t="shared" si="20"/>
        <v>0</v>
      </c>
      <c r="HO30" s="48">
        <f t="shared" si="20"/>
        <v>0</v>
      </c>
      <c r="HP30" s="48">
        <f t="shared" si="20"/>
        <v>0</v>
      </c>
      <c r="HQ30" s="48">
        <f t="shared" si="20"/>
        <v>0</v>
      </c>
      <c r="HR30" s="48">
        <f t="shared" si="20"/>
        <v>0</v>
      </c>
      <c r="HS30" s="48">
        <f t="shared" si="20"/>
        <v>0</v>
      </c>
      <c r="HT30" s="48">
        <f t="shared" si="20"/>
        <v>0</v>
      </c>
      <c r="HU30" s="48">
        <f t="shared" si="20"/>
        <v>0</v>
      </c>
      <c r="HV30" s="48">
        <f t="shared" si="20"/>
        <v>0</v>
      </c>
      <c r="HW30" s="48">
        <f t="shared" si="20"/>
        <v>0</v>
      </c>
      <c r="HX30" s="48">
        <f t="shared" si="20"/>
        <v>0</v>
      </c>
      <c r="HY30" s="48">
        <f t="shared" si="20"/>
        <v>0</v>
      </c>
      <c r="HZ30" s="48">
        <f t="shared" si="20"/>
        <v>0</v>
      </c>
      <c r="IA30" s="48">
        <f t="shared" si="20"/>
        <v>0</v>
      </c>
      <c r="IB30" s="48">
        <f t="shared" si="20"/>
        <v>0</v>
      </c>
      <c r="IC30" s="48">
        <f t="shared" si="20"/>
        <v>0</v>
      </c>
      <c r="ID30" s="48">
        <f t="shared" si="20"/>
        <v>0</v>
      </c>
      <c r="IE30" s="48">
        <f t="shared" si="20"/>
        <v>0</v>
      </c>
      <c r="IF30" s="48">
        <f t="shared" si="20"/>
        <v>0</v>
      </c>
      <c r="IG30" s="48">
        <f t="shared" si="20"/>
        <v>0</v>
      </c>
      <c r="IH30" s="48">
        <f t="shared" si="20"/>
        <v>0</v>
      </c>
      <c r="II30" s="48">
        <f t="shared" si="20"/>
        <v>0</v>
      </c>
      <c r="IJ30" s="48">
        <f t="shared" si="20"/>
        <v>0</v>
      </c>
      <c r="IK30" s="48">
        <f t="shared" si="20"/>
        <v>0</v>
      </c>
      <c r="IL30" s="48">
        <f t="shared" si="20"/>
        <v>0</v>
      </c>
      <c r="IM30" s="48">
        <f t="shared" si="20"/>
        <v>0</v>
      </c>
      <c r="IN30" s="48">
        <f t="shared" si="20"/>
        <v>0</v>
      </c>
      <c r="IO30" s="48">
        <f t="shared" si="20"/>
        <v>0</v>
      </c>
      <c r="IP30" s="48">
        <f t="shared" si="20"/>
        <v>0</v>
      </c>
      <c r="IQ30" s="48">
        <f t="shared" si="20"/>
        <v>0</v>
      </c>
      <c r="IR30" s="48">
        <f t="shared" si="20"/>
        <v>0</v>
      </c>
      <c r="IS30" s="48">
        <f t="shared" si="20"/>
        <v>0</v>
      </c>
      <c r="IT30" s="48">
        <f t="shared" si="20"/>
        <v>0</v>
      </c>
      <c r="IU30" s="48">
        <f t="shared" si="20"/>
        <v>0</v>
      </c>
      <c r="IV30" s="48">
        <f t="shared" si="20"/>
        <v>0</v>
      </c>
      <c r="IW30" s="48">
        <f t="shared" si="20"/>
        <v>0</v>
      </c>
      <c r="IX30" s="48">
        <f t="shared" ref="IX30:LI30" si="21">COUNTA(IX9:IX28)</f>
        <v>0</v>
      </c>
      <c r="IY30" s="48">
        <f t="shared" si="21"/>
        <v>0</v>
      </c>
      <c r="IZ30" s="48">
        <f t="shared" si="21"/>
        <v>0</v>
      </c>
      <c r="JA30" s="48">
        <f t="shared" si="21"/>
        <v>0</v>
      </c>
      <c r="JB30" s="48">
        <f t="shared" si="21"/>
        <v>0</v>
      </c>
      <c r="JC30" s="48">
        <f t="shared" si="21"/>
        <v>0</v>
      </c>
      <c r="JD30" s="48">
        <f t="shared" si="21"/>
        <v>0</v>
      </c>
      <c r="JE30" s="48">
        <f t="shared" si="21"/>
        <v>0</v>
      </c>
      <c r="JF30" s="48">
        <f t="shared" si="21"/>
        <v>0</v>
      </c>
      <c r="JG30" s="48">
        <f t="shared" si="21"/>
        <v>0</v>
      </c>
      <c r="JH30" s="48">
        <f t="shared" si="21"/>
        <v>0</v>
      </c>
      <c r="JI30" s="48">
        <f t="shared" si="21"/>
        <v>0</v>
      </c>
      <c r="JJ30" s="48">
        <f t="shared" si="21"/>
        <v>0</v>
      </c>
      <c r="JK30" s="48">
        <f t="shared" si="21"/>
        <v>0</v>
      </c>
      <c r="JL30" s="48">
        <f t="shared" si="21"/>
        <v>0</v>
      </c>
      <c r="JM30" s="48">
        <f t="shared" si="21"/>
        <v>0</v>
      </c>
      <c r="JN30" s="48">
        <f t="shared" si="21"/>
        <v>0</v>
      </c>
      <c r="JO30" s="48">
        <f t="shared" si="21"/>
        <v>0</v>
      </c>
      <c r="JP30" s="48">
        <f t="shared" si="21"/>
        <v>0</v>
      </c>
      <c r="JQ30" s="48">
        <f t="shared" si="21"/>
        <v>0</v>
      </c>
      <c r="JR30" s="48">
        <f t="shared" si="21"/>
        <v>0</v>
      </c>
      <c r="JS30" s="48">
        <f t="shared" si="21"/>
        <v>0</v>
      </c>
      <c r="JT30" s="48">
        <f t="shared" si="21"/>
        <v>0</v>
      </c>
      <c r="JU30" s="48">
        <f t="shared" si="21"/>
        <v>0</v>
      </c>
      <c r="JV30" s="48">
        <f t="shared" si="21"/>
        <v>0</v>
      </c>
      <c r="JW30" s="48">
        <f t="shared" si="21"/>
        <v>0</v>
      </c>
      <c r="JX30" s="48">
        <f t="shared" si="21"/>
        <v>0</v>
      </c>
      <c r="JY30" s="48">
        <f t="shared" si="21"/>
        <v>0</v>
      </c>
      <c r="JZ30" s="48">
        <f t="shared" si="21"/>
        <v>0</v>
      </c>
      <c r="KA30" s="48">
        <f t="shared" si="21"/>
        <v>0</v>
      </c>
      <c r="KB30" s="48">
        <f t="shared" si="21"/>
        <v>0</v>
      </c>
      <c r="KC30" s="48">
        <f t="shared" si="21"/>
        <v>0</v>
      </c>
      <c r="KD30" s="48">
        <f t="shared" si="21"/>
        <v>0</v>
      </c>
      <c r="KE30" s="48">
        <f t="shared" si="21"/>
        <v>0</v>
      </c>
      <c r="KF30" s="48">
        <f t="shared" si="21"/>
        <v>0</v>
      </c>
      <c r="KG30" s="48">
        <f t="shared" si="21"/>
        <v>0</v>
      </c>
      <c r="KH30" s="48">
        <f t="shared" si="21"/>
        <v>0</v>
      </c>
      <c r="KI30" s="48">
        <f t="shared" si="21"/>
        <v>0</v>
      </c>
      <c r="KJ30" s="48">
        <f t="shared" si="21"/>
        <v>0</v>
      </c>
      <c r="KK30" s="48">
        <f t="shared" si="21"/>
        <v>0</v>
      </c>
      <c r="KL30" s="48">
        <f t="shared" si="21"/>
        <v>0</v>
      </c>
      <c r="KM30" s="48">
        <f t="shared" si="21"/>
        <v>0</v>
      </c>
      <c r="KN30" s="48">
        <f t="shared" si="21"/>
        <v>0</v>
      </c>
      <c r="KO30" s="48">
        <f t="shared" si="21"/>
        <v>0</v>
      </c>
      <c r="KP30" s="48">
        <f t="shared" si="21"/>
        <v>0</v>
      </c>
      <c r="KQ30" s="48">
        <f t="shared" si="21"/>
        <v>0</v>
      </c>
      <c r="KR30" s="48">
        <f t="shared" si="21"/>
        <v>0</v>
      </c>
      <c r="KS30" s="48">
        <f t="shared" si="21"/>
        <v>0</v>
      </c>
      <c r="KT30" s="48">
        <f t="shared" si="21"/>
        <v>0</v>
      </c>
      <c r="KU30" s="48">
        <f t="shared" si="21"/>
        <v>0</v>
      </c>
      <c r="KV30" s="48">
        <f t="shared" si="21"/>
        <v>0</v>
      </c>
      <c r="KW30" s="48">
        <f t="shared" si="21"/>
        <v>0</v>
      </c>
      <c r="KX30" s="48">
        <f t="shared" si="21"/>
        <v>0</v>
      </c>
      <c r="KY30" s="48">
        <f t="shared" si="21"/>
        <v>0</v>
      </c>
      <c r="KZ30" s="48">
        <f t="shared" si="21"/>
        <v>0</v>
      </c>
      <c r="LA30" s="48">
        <f t="shared" si="21"/>
        <v>0</v>
      </c>
      <c r="LB30" s="48">
        <f t="shared" si="21"/>
        <v>0</v>
      </c>
      <c r="LC30" s="48">
        <f t="shared" si="21"/>
        <v>0</v>
      </c>
      <c r="LD30" s="48">
        <f t="shared" si="21"/>
        <v>0</v>
      </c>
      <c r="LE30" s="48">
        <f t="shared" si="21"/>
        <v>0</v>
      </c>
      <c r="LF30" s="48">
        <f t="shared" si="21"/>
        <v>0</v>
      </c>
      <c r="LG30" s="48">
        <f t="shared" si="21"/>
        <v>0</v>
      </c>
      <c r="LH30" s="48">
        <f t="shared" si="21"/>
        <v>0</v>
      </c>
      <c r="LI30" s="48">
        <f t="shared" si="21"/>
        <v>0</v>
      </c>
      <c r="LJ30" s="48">
        <f t="shared" ref="LJ30:NI30" si="22">COUNTA(LJ9:LJ28)</f>
        <v>0</v>
      </c>
      <c r="LK30" s="48">
        <f t="shared" si="22"/>
        <v>0</v>
      </c>
      <c r="LL30" s="48">
        <f t="shared" si="22"/>
        <v>0</v>
      </c>
      <c r="LM30" s="48">
        <f t="shared" si="22"/>
        <v>0</v>
      </c>
      <c r="LN30" s="48">
        <f t="shared" si="22"/>
        <v>0</v>
      </c>
      <c r="LO30" s="48">
        <f t="shared" si="22"/>
        <v>0</v>
      </c>
      <c r="LP30" s="48">
        <f t="shared" si="22"/>
        <v>0</v>
      </c>
      <c r="LQ30" s="48">
        <f t="shared" si="22"/>
        <v>0</v>
      </c>
      <c r="LR30" s="48">
        <f t="shared" si="22"/>
        <v>0</v>
      </c>
      <c r="LS30" s="48">
        <f t="shared" si="22"/>
        <v>0</v>
      </c>
      <c r="LT30" s="48">
        <f t="shared" si="22"/>
        <v>0</v>
      </c>
      <c r="LU30" s="48">
        <f t="shared" si="22"/>
        <v>0</v>
      </c>
      <c r="LV30" s="48">
        <f t="shared" si="22"/>
        <v>0</v>
      </c>
      <c r="LW30" s="48">
        <f t="shared" si="22"/>
        <v>0</v>
      </c>
      <c r="LX30" s="48">
        <f t="shared" si="22"/>
        <v>0</v>
      </c>
      <c r="LY30" s="48">
        <f t="shared" si="22"/>
        <v>0</v>
      </c>
      <c r="LZ30" s="48">
        <f t="shared" si="22"/>
        <v>0</v>
      </c>
      <c r="MA30" s="48">
        <f t="shared" si="22"/>
        <v>0</v>
      </c>
      <c r="MB30" s="48">
        <f t="shared" si="22"/>
        <v>0</v>
      </c>
      <c r="MC30" s="48">
        <f t="shared" si="22"/>
        <v>0</v>
      </c>
      <c r="MD30" s="48">
        <f t="shared" si="22"/>
        <v>0</v>
      </c>
      <c r="ME30" s="48">
        <f t="shared" si="22"/>
        <v>0</v>
      </c>
      <c r="MF30" s="48">
        <f t="shared" si="22"/>
        <v>0</v>
      </c>
      <c r="MG30" s="48">
        <f t="shared" si="22"/>
        <v>0</v>
      </c>
      <c r="MH30" s="48">
        <f t="shared" si="22"/>
        <v>0</v>
      </c>
      <c r="MI30" s="48">
        <f t="shared" si="22"/>
        <v>0</v>
      </c>
      <c r="MJ30" s="48">
        <f t="shared" si="22"/>
        <v>0</v>
      </c>
      <c r="MK30" s="48">
        <f t="shared" si="22"/>
        <v>0</v>
      </c>
      <c r="ML30" s="48">
        <f t="shared" si="22"/>
        <v>0</v>
      </c>
      <c r="MM30" s="48">
        <f t="shared" si="22"/>
        <v>0</v>
      </c>
      <c r="MN30" s="48">
        <f t="shared" si="22"/>
        <v>0</v>
      </c>
      <c r="MO30" s="48">
        <f t="shared" si="22"/>
        <v>0</v>
      </c>
      <c r="MP30" s="48">
        <f t="shared" si="22"/>
        <v>0</v>
      </c>
      <c r="MQ30" s="48">
        <f t="shared" si="22"/>
        <v>0</v>
      </c>
      <c r="MR30" s="48">
        <f t="shared" si="22"/>
        <v>0</v>
      </c>
      <c r="MS30" s="48">
        <f t="shared" si="22"/>
        <v>0</v>
      </c>
      <c r="MT30" s="48">
        <f t="shared" si="22"/>
        <v>0</v>
      </c>
      <c r="MU30" s="48">
        <f t="shared" si="22"/>
        <v>0</v>
      </c>
      <c r="MV30" s="48">
        <f t="shared" si="22"/>
        <v>0</v>
      </c>
      <c r="MW30" s="48">
        <f t="shared" si="22"/>
        <v>0</v>
      </c>
      <c r="MX30" s="48">
        <f t="shared" si="22"/>
        <v>0</v>
      </c>
      <c r="MY30" s="48">
        <f t="shared" si="22"/>
        <v>0</v>
      </c>
      <c r="MZ30" s="48">
        <f t="shared" si="22"/>
        <v>0</v>
      </c>
      <c r="NA30" s="48">
        <f t="shared" si="22"/>
        <v>0</v>
      </c>
      <c r="NB30" s="48">
        <f t="shared" si="22"/>
        <v>0</v>
      </c>
      <c r="NC30" s="48">
        <f t="shared" si="22"/>
        <v>0</v>
      </c>
      <c r="ND30" s="48">
        <f t="shared" si="22"/>
        <v>0</v>
      </c>
      <c r="NE30" s="48">
        <f t="shared" si="22"/>
        <v>0</v>
      </c>
      <c r="NF30" s="48">
        <f t="shared" si="22"/>
        <v>0</v>
      </c>
      <c r="NG30" s="48">
        <f t="shared" si="22"/>
        <v>0</v>
      </c>
      <c r="NH30" s="48">
        <f t="shared" si="22"/>
        <v>0</v>
      </c>
      <c r="NI30" s="48">
        <f t="shared" si="22"/>
        <v>0</v>
      </c>
      <c r="NJ30" s="49">
        <f ca="1">SUM(NJ9:NJ28)</f>
        <v>10</v>
      </c>
      <c r="NK30" s="49">
        <f ca="1">SUM(NK9:NK28)</f>
        <v>48</v>
      </c>
      <c r="NV30"/>
    </row>
    <row r="34" spans="388:389">
      <c r="NX34" s="24" t="s">
        <v>36</v>
      </c>
      <c r="NY34" s="24" t="s">
        <v>37</v>
      </c>
    </row>
    <row r="35" spans="388:389">
      <c r="NX35" s="23" t="s">
        <v>38</v>
      </c>
      <c r="NY35" s="39" t="s">
        <v>6</v>
      </c>
    </row>
    <row r="36" spans="388:389">
      <c r="NX36" s="23" t="s">
        <v>39</v>
      </c>
      <c r="NY36" s="39" t="s">
        <v>7</v>
      </c>
    </row>
    <row r="37" spans="388:389">
      <c r="NX37" s="16" t="s">
        <v>40</v>
      </c>
      <c r="NY37" s="39" t="s">
        <v>8</v>
      </c>
    </row>
    <row r="38" spans="388:389">
      <c r="NX38" s="16" t="s">
        <v>41</v>
      </c>
      <c r="NY38" s="39" t="s">
        <v>9</v>
      </c>
    </row>
    <row r="39" spans="388:389">
      <c r="NX39" s="16" t="s">
        <v>42</v>
      </c>
      <c r="NY39" s="39" t="s">
        <v>43</v>
      </c>
    </row>
    <row r="40" spans="388:389">
      <c r="NX40" s="23" t="s">
        <v>44</v>
      </c>
      <c r="NY40" s="39" t="s">
        <v>11</v>
      </c>
    </row>
    <row r="41" spans="388:389">
      <c r="NX41" s="23" t="s">
        <v>45</v>
      </c>
      <c r="NY41" s="39" t="s">
        <v>12</v>
      </c>
    </row>
    <row r="42" spans="388:389">
      <c r="NX42" s="16" t="s">
        <v>46</v>
      </c>
      <c r="NY42" s="39" t="s">
        <v>47</v>
      </c>
    </row>
    <row r="43" spans="388:389">
      <c r="NX43" s="16" t="s">
        <v>48</v>
      </c>
      <c r="NY43" s="39" t="s">
        <v>14</v>
      </c>
    </row>
    <row r="44" spans="388:389">
      <c r="NX44" s="16" t="s">
        <v>49</v>
      </c>
      <c r="NY44" s="39" t="s">
        <v>15</v>
      </c>
    </row>
    <row r="45" spans="388:389">
      <c r="NX45" s="31"/>
      <c r="NY45" s="32"/>
    </row>
    <row r="48" spans="388:389">
      <c r="NX48" s="27" t="s">
        <v>50</v>
      </c>
      <c r="NY48" s="40"/>
    </row>
    <row r="49" spans="388:389">
      <c r="NX49" s="28" t="s">
        <v>51</v>
      </c>
      <c r="NY49" s="1" t="s">
        <v>52</v>
      </c>
    </row>
    <row r="50" spans="388:389">
      <c r="NX50" s="28" t="s">
        <v>53</v>
      </c>
      <c r="NY50" s="1" t="s">
        <v>52</v>
      </c>
    </row>
    <row r="51" spans="388:389">
      <c r="NX51" s="28" t="s">
        <v>54</v>
      </c>
      <c r="NY51" s="1" t="s">
        <v>52</v>
      </c>
    </row>
    <row r="52" spans="388:389">
      <c r="NX52" s="28" t="s">
        <v>55</v>
      </c>
      <c r="NY52" s="1" t="s">
        <v>52</v>
      </c>
    </row>
    <row r="53" spans="388:389">
      <c r="NX53" s="28" t="s">
        <v>56</v>
      </c>
      <c r="NY53" s="1" t="s">
        <v>52</v>
      </c>
    </row>
    <row r="54" spans="388:389">
      <c r="NX54" s="28" t="s">
        <v>57</v>
      </c>
      <c r="NY54" s="1" t="s">
        <v>58</v>
      </c>
    </row>
    <row r="55" spans="388:389">
      <c r="NX55" s="28" t="s">
        <v>59</v>
      </c>
      <c r="NY55" s="1" t="s">
        <v>58</v>
      </c>
    </row>
  </sheetData>
  <mergeCells count="14">
    <mergeCell ref="NY9:NY24"/>
    <mergeCell ref="NV3:NV7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phoneticPr fontId="11"/>
  <conditionalFormatting sqref="NY49:NY55">
    <cfRule type="expression" dxfId="24" priority="650">
      <formula>NY49="No"</formula>
    </cfRule>
  </conditionalFormatting>
  <conditionalFormatting sqref="B6:NI6">
    <cfRule type="expression" dxfId="23" priority="843">
      <formula>IF(VLOOKUP(B6,$NX$49:$NY$55,2,0)="No",TRUE,FALSE)</formula>
    </cfRule>
  </conditionalFormatting>
  <conditionalFormatting sqref="IQ9:NI28 B11:E11 K11:IP11 G11:I11 B10:DY10 B12:IP28 MK8:NI8 B8:MI8 EB10:IP10 B9:IP9">
    <cfRule type="expression" dxfId="22" priority="2668" stopIfTrue="1">
      <formula>AND(B$5&lt;&gt;"",VLOOKUP(B$6,$NX$49:$NY$55,2,0)&lt;&gt;"Yes")</formula>
    </cfRule>
    <cfRule type="expression" dxfId="21" priority="2669" stopIfTrue="1">
      <formula>ISNUMBER(MATCH(DATE($A$2,$A$1+$A$3-1,B$5),HolidayListNamedRange,0))</formula>
    </cfRule>
    <cfRule type="expression" dxfId="20" priority="2670">
      <formula>OR(B8=$NY$35,B8=$NY$36,B8=$NY$37,B8=$NY$38,B8=$NY$39,B8=$NY$40,B8=$NY$41,B8=$NY$42)</formula>
    </cfRule>
    <cfRule type="expression" dxfId="19" priority="2671">
      <formula>OR(B8=$NY$43,B8=$NY$44)</formula>
    </cfRule>
  </conditionalFormatting>
  <conditionalFormatting sqref="F11">
    <cfRule type="expression" dxfId="18" priority="2856" stopIfTrue="1">
      <formula>AND(J$5&lt;&gt;"",VLOOKUP(J$6,$NX$49:$NY$55,2,0)&lt;&gt;"Yes")</formula>
    </cfRule>
    <cfRule type="expression" dxfId="17" priority="2857" stopIfTrue="1">
      <formula>ISNUMBER(MATCH(DATE($A$2,$A$1+$A$3-1,J$5),HolidayListNamedRange,0))</formula>
    </cfRule>
    <cfRule type="expression" dxfId="16" priority="2858">
      <formula>OR(F11=$NY$35,F11=$NY$36,F11=$NY$37,F11=$NY$38,F11=$NY$39,F11=$NY$40,F11=$NY$41,F11=$NY$42)</formula>
    </cfRule>
    <cfRule type="expression" dxfId="15" priority="2859">
      <formula>OR(F11=$NY$43,F11=$NY$44)</formula>
    </cfRule>
  </conditionalFormatting>
  <conditionalFormatting sqref="DZ10:EA10">
    <cfRule type="expression" dxfId="14" priority="2968" stopIfTrue="1">
      <formula>AND(EA$5&lt;&gt;"",VLOOKUP(EA$6,$NX$49:$NY$55,2,0)&lt;&gt;"Yes")</formula>
    </cfRule>
    <cfRule type="expression" dxfId="13" priority="2969" stopIfTrue="1">
      <formula>ISNUMBER(MATCH(DATE($A$2,$A$1+$A$3-1,EA$5),HolidayListNamedRange,0))</formula>
    </cfRule>
    <cfRule type="expression" dxfId="12" priority="2970">
      <formula>OR(DZ10=$NY$35,DZ10=$NY$36,DZ10=$NY$37,DZ10=$NY$38,DZ10=$NY$39,DZ10=$NY$40,DZ10=$NY$41,DZ10=$NY$42)</formula>
    </cfRule>
    <cfRule type="expression" dxfId="11" priority="2971">
      <formula>OR(DZ10=$NY$43,DZ10=$NY$44)</formula>
    </cfRule>
  </conditionalFormatting>
  <conditionalFormatting sqref="MJ8">
    <cfRule type="expression" dxfId="10" priority="2972" stopIfTrue="1">
      <formula>AND(MI$5&lt;&gt;"",VLOOKUP(MI$6,$NX$49:$NY$55,2,0)&lt;&gt;"Yes")</formula>
    </cfRule>
    <cfRule type="expression" dxfId="9" priority="2973" stopIfTrue="1">
      <formula>ISNUMBER(MATCH(DATE($A$2,$A$1+$A$3-1,MI$5),HolidayListNamedRange,0))</formula>
    </cfRule>
    <cfRule type="expression" dxfId="8" priority="2974">
      <formula>OR(MJ8=$NY$35,MJ8=$NY$36,MJ8=$NY$37,MJ8=$NY$38,MJ8=$NY$39,MJ8=$NY$40,MJ8=$NY$41,MJ8=$NY$42)</formula>
    </cfRule>
    <cfRule type="expression" dxfId="7" priority="2975">
      <formula>OR(MJ8=$NY$43,MJ8=$NY$44)</formula>
    </cfRule>
  </conditionalFormatting>
  <dataValidations count="5">
    <dataValidation type="list" allowBlank="1" showInputMessage="1" showErrorMessage="1" sqref="NY49:NY56" xr:uid="{4B856FA1-FC04-4ACE-A74C-BE6CBFA84034}">
      <formula1>"Yes, No"</formula1>
    </dataValidation>
    <dataValidation type="custom" allowBlank="1" showErrorMessage="1" errorTitle="Not a Valid Date" error="This isn't a valid Date" sqref="AI12 FD12 EI11:EI12 CJ27:CL27 AV21:BD21 J21:AT21 B20:H21 J18:M18 CJ25:CL25 H25:H28 AB19 O18 J20:IE20 H19 GP19:GQ19 BO19 ES19:EW19 EL19:EP19 EF19:EH19 EZ19 HO19 FE19 B10:H10 LD21:NI21 C14:D14 BG11 IF14 JS13 JY15:JZ15 LM13:LP13 LI14 IV10 NA14 AR14 ND23:NE23 GH13:GL13 GP13:GP15 KX22:KX23 HK11 KV24 KZ22:KZ24 MJ10:NI10 AR13:AS13 AO13 I17:CB17 CD17 CF17:CJ17 AI24 AQ11:AQ12 DC17:DD17 JC10:MH10 DF17:DR17 DC15:FB15 CL16:DA17 CD16:CJ16 BF15:DA15 BF16:CB16 AR16:AT16 J15:AT15 J16:AO16 AV15:BD16 FD15:FG15 B15:H18 FK15:FP15 KX11:KX12 LU16:NI16 KZ14:KZ15 JH16:KR16 DU16:HC16 DC16:DR16 JU13 IC14 IS15:JD15 FE12:FE14 IX10:IZ10 JF15:JW15 KO23 KS24 LY15:NI15 KB15:KY15 LR16:LS16 KT16:LP16 LA15:LW15 LF24 NA19:NB19 ND19:NE19 NA23:NB23 EK10:IS10 FR15:IQ15 BF21:LB21 Q18:NI18 DT17:NI17 HE16:JD16 IG20:NI20 FF9:NI9 IQ22:IQ28 IQ19 IQ11:IQ14 B9:DA9 CK10:DY10 EG8:HL8 J10:CI10 KZ11:KZ12 KC11:KC12 JE11:JE12 IG11:IG12 ND11:ND12 KJ11:KM12 GQ11:GQ15 GL11:GL12 H11:H15 EL11:EP15 IX11:IX12 BO11:BO14 HO11:HO15 EZ11:EZ15 GO11:GP12 ES11:EW15 EF11:EH15 B8:Q8 BW8:CF8 S8:AK8 HO8:HY8 AM8:AO8 MK8:NI8 AQ8:BU8 BY11:BY12 CH8:DA8 KV8:MI8 IB8:IG8 II8:KT8 DC8:EE8 EC10:EI10 DC9:EH9 EK9:FD9" xr:uid="{F52769F4-4090-47C3-AE5E-EB3174481875}">
      <formula1>B$6&lt;&gt;""</formula1>
    </dataValidation>
    <dataValidation type="list" allowBlank="1" showInputMessage="1" showErrorMessage="1" sqref="A1" xr:uid="{515F59A1-608B-4B0A-AAC1-3B7C2D69401F}">
      <formula1>"1,2,3,4,5,6,7,8,9,10,11,12"</formula1>
    </dataValidation>
    <dataValidation type="custom" allowBlank="1" showErrorMessage="1" errorTitle="Not a Valid Date" error="This isn't a valid Date" sqref="MJ8" xr:uid="{41587F20-59AA-4D1F-B080-B07B26D7A290}">
      <formula1>MI$6&lt;&gt;""</formula1>
    </dataValidation>
    <dataValidation type="custom" allowBlank="1" showErrorMessage="1" errorTitle="Not a Valid Date" error="This isn't a valid Date" sqref="DZ10:EA10" xr:uid="{8EA8B3C8-0EA1-41C7-912F-0AE92CA1990E}">
      <formula1>EA$6&lt;&gt;""</formula1>
    </dataValidation>
  </dataValidations>
  <pageMargins left="0.70866141732283472" right="0.70866141732283472" top="0.74803149606299213" bottom="0.74803149606299213" header="0.31496062992125984" footer="0.31496062992125984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4"/>
  <sheetViews>
    <sheetView showGridLines="0" zoomScale="115" zoomScaleNormal="115" workbookViewId="0">
      <selection activeCell="A9" sqref="A9"/>
    </sheetView>
  </sheetViews>
  <sheetFormatPr defaultRowHeight="13.5"/>
  <cols>
    <col min="1" max="1" width="24" bestFit="1" customWidth="1"/>
    <col min="2" max="2" width="12.140625" customWidth="1"/>
    <col min="4" max="4" width="48.28515625" bestFit="1" customWidth="1"/>
    <col min="5" max="5" width="10.85546875" bestFit="1" customWidth="1"/>
  </cols>
  <sheetData>
    <row r="1" spans="1:5">
      <c r="A1" s="10" t="s">
        <v>60</v>
      </c>
      <c r="B1" s="11" t="s">
        <v>61</v>
      </c>
    </row>
    <row r="2" spans="1:5">
      <c r="A2" s="16" t="s">
        <v>62</v>
      </c>
      <c r="B2" s="50">
        <v>46023</v>
      </c>
      <c r="D2" s="5"/>
      <c r="E2" s="7"/>
    </row>
    <row r="3" spans="1:5">
      <c r="A3" s="30" t="s">
        <v>63</v>
      </c>
      <c r="B3" s="51">
        <v>46037</v>
      </c>
      <c r="D3" s="7"/>
      <c r="E3" s="7"/>
    </row>
    <row r="4" spans="1:5">
      <c r="A4" s="16" t="s">
        <v>64</v>
      </c>
      <c r="B4" s="50">
        <v>46038</v>
      </c>
      <c r="D4" s="7"/>
      <c r="E4" s="7"/>
    </row>
    <row r="5" spans="1:5">
      <c r="A5" s="16" t="s">
        <v>65</v>
      </c>
      <c r="B5" s="50">
        <v>46048</v>
      </c>
      <c r="D5" s="7"/>
      <c r="E5" s="7"/>
    </row>
    <row r="6" spans="1:5">
      <c r="A6" s="30" t="s">
        <v>66</v>
      </c>
      <c r="B6" s="51">
        <v>46115</v>
      </c>
      <c r="D6" s="7"/>
      <c r="E6" s="7"/>
    </row>
    <row r="7" spans="1:5">
      <c r="A7" s="30" t="s">
        <v>67</v>
      </c>
      <c r="B7" s="51">
        <v>46126</v>
      </c>
      <c r="D7" s="7"/>
      <c r="E7" s="7"/>
    </row>
    <row r="8" spans="1:5">
      <c r="A8" s="30" t="s">
        <v>68</v>
      </c>
      <c r="B8" s="51">
        <v>46135</v>
      </c>
      <c r="D8" s="7"/>
      <c r="E8" s="7"/>
    </row>
    <row r="9" spans="1:5">
      <c r="A9" s="16" t="s">
        <v>69</v>
      </c>
      <c r="B9" s="50">
        <v>46143</v>
      </c>
      <c r="D9" s="7"/>
      <c r="E9" s="7"/>
    </row>
    <row r="10" spans="1:5">
      <c r="A10" s="16" t="s">
        <v>70</v>
      </c>
      <c r="B10" s="51">
        <v>46260</v>
      </c>
      <c r="D10" s="7"/>
      <c r="E10" s="7"/>
    </row>
    <row r="11" spans="1:5">
      <c r="A11" s="16" t="s">
        <v>71</v>
      </c>
      <c r="B11" s="50">
        <v>46279</v>
      </c>
      <c r="D11" s="7"/>
      <c r="E11" s="7"/>
    </row>
    <row r="12" spans="1:5">
      <c r="A12" s="16" t="s">
        <v>72</v>
      </c>
      <c r="B12" s="50">
        <v>46297</v>
      </c>
      <c r="D12" s="7"/>
      <c r="E12" s="7"/>
    </row>
    <row r="13" spans="1:5">
      <c r="A13" s="30" t="s">
        <v>73</v>
      </c>
      <c r="B13" s="51">
        <v>46314</v>
      </c>
      <c r="D13" s="7"/>
      <c r="E13" s="7"/>
    </row>
    <row r="14" spans="1:5">
      <c r="A14" s="16" t="s">
        <v>74</v>
      </c>
      <c r="B14" s="50">
        <v>46381</v>
      </c>
      <c r="D14" s="7"/>
      <c r="E14" s="7"/>
    </row>
  </sheetData>
  <phoneticPr fontId="1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12"/>
  <sheetViews>
    <sheetView workbookViewId="0">
      <selection activeCell="E1" sqref="E1"/>
    </sheetView>
  </sheetViews>
  <sheetFormatPr defaultRowHeight="13.5"/>
  <cols>
    <col min="7" max="7" width="10.42578125" bestFit="1" customWidth="1"/>
    <col min="9" max="9" width="9.5703125" bestFit="1" customWidth="1"/>
  </cols>
  <sheetData>
    <row r="1" spans="1:9">
      <c r="A1" s="1" t="s">
        <v>75</v>
      </c>
      <c r="B1" s="1">
        <v>1</v>
      </c>
      <c r="D1">
        <v>1</v>
      </c>
      <c r="E1" t="s">
        <v>51</v>
      </c>
      <c r="G1" t="str">
        <f>INDEX($A$1:$A$12,MATCH('Leave Tracker'!$A$1+'Leave Tracker'!$A$3-1,Sheet3!$B$1:$B$12,0))&amp;" "&amp;'Leave Tracker'!$A$2</f>
        <v>May 2026</v>
      </c>
      <c r="H1" s="5"/>
      <c r="I1" s="5"/>
    </row>
    <row r="2" spans="1:9">
      <c r="A2" s="1" t="s">
        <v>76</v>
      </c>
      <c r="B2" s="1">
        <v>2</v>
      </c>
      <c r="D2">
        <v>2</v>
      </c>
      <c r="E2" t="s">
        <v>53</v>
      </c>
      <c r="G2" s="5" t="str">
        <f>INDEX($A$1:$A$12,MATCH(MONTH(DATE('Leave Tracker'!$A$2,'Leave Tracker'!$A$1+'Leave Tracker'!$A$3-1,1)),$B$1:$B$12,0))&amp;" "&amp;YEAR(DATE('Leave Tracker'!$A$2,'Leave Tracker'!$A$1+'Leave Tracker'!$A$3-1,1))</f>
        <v>May 2026</v>
      </c>
    </row>
    <row r="3" spans="1:9">
      <c r="A3" s="1" t="s">
        <v>77</v>
      </c>
      <c r="B3" s="1">
        <v>3</v>
      </c>
      <c r="D3">
        <v>3</v>
      </c>
      <c r="E3" t="s">
        <v>54</v>
      </c>
    </row>
    <row r="4" spans="1:9">
      <c r="A4" s="1" t="s">
        <v>78</v>
      </c>
      <c r="B4" s="1">
        <v>4</v>
      </c>
      <c r="D4">
        <v>4</v>
      </c>
      <c r="E4" t="s">
        <v>55</v>
      </c>
    </row>
    <row r="5" spans="1:9">
      <c r="A5" s="1" t="s">
        <v>79</v>
      </c>
      <c r="B5" s="1">
        <v>5</v>
      </c>
      <c r="D5">
        <v>5</v>
      </c>
      <c r="E5" t="s">
        <v>56</v>
      </c>
    </row>
    <row r="6" spans="1:9">
      <c r="A6" s="1" t="s">
        <v>80</v>
      </c>
      <c r="B6" s="1">
        <v>6</v>
      </c>
      <c r="D6">
        <v>6</v>
      </c>
      <c r="E6" t="s">
        <v>57</v>
      </c>
    </row>
    <row r="7" spans="1:9">
      <c r="A7" s="1" t="s">
        <v>81</v>
      </c>
      <c r="B7" s="1">
        <v>7</v>
      </c>
      <c r="D7">
        <v>7</v>
      </c>
      <c r="E7" t="s">
        <v>59</v>
      </c>
    </row>
    <row r="8" spans="1:9">
      <c r="A8" s="1" t="s">
        <v>82</v>
      </c>
      <c r="B8" s="1">
        <v>8</v>
      </c>
    </row>
    <row r="9" spans="1:9">
      <c r="A9" s="1" t="s">
        <v>83</v>
      </c>
      <c r="B9" s="1">
        <v>9</v>
      </c>
    </row>
    <row r="10" spans="1:9">
      <c r="A10" s="1" t="s">
        <v>84</v>
      </c>
      <c r="B10" s="1">
        <v>10</v>
      </c>
    </row>
    <row r="11" spans="1:9">
      <c r="A11" s="1" t="s">
        <v>85</v>
      </c>
      <c r="B11" s="1">
        <v>11</v>
      </c>
    </row>
    <row r="12" spans="1:9">
      <c r="A12" s="1" t="s">
        <v>86</v>
      </c>
      <c r="B12" s="1">
        <v>12</v>
      </c>
    </row>
  </sheetData>
  <phoneticPr fontId="1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IBM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ADMINIBM</dc:creator>
  <cp:keywords/>
  <dc:description/>
  <cp:lastModifiedBy/>
  <cp:revision/>
  <dcterms:created xsi:type="dcterms:W3CDTF">2014-12-17T05:13:13Z</dcterms:created>
  <dcterms:modified xsi:type="dcterms:W3CDTF">2026-06-05T09:09:46Z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9f0390-8cd2-4b67-82d6-256ea6522b99_Enabled">
    <vt:lpwstr>true</vt:lpwstr>
  </property>
  <property fmtid="{D5CDD505-2E9C-101B-9397-08002B2CF9AE}" pid="3" name="MSIP_Label_609f0390-8cd2-4b67-82d6-256ea6522b99_SetDate">
    <vt:lpwstr>2026-05-15T06:24:00Z</vt:lpwstr>
  </property>
  <property fmtid="{D5CDD505-2E9C-101B-9397-08002B2CF9AE}" pid="4" name="MSIP_Label_609f0390-8cd2-4b67-82d6-256ea6522b99_Method">
    <vt:lpwstr>Standard</vt:lpwstr>
  </property>
  <property fmtid="{D5CDD505-2E9C-101B-9397-08002B2CF9AE}" pid="5" name="MSIP_Label_609f0390-8cd2-4b67-82d6-256ea6522b99_Name">
    <vt:lpwstr>Internal</vt:lpwstr>
  </property>
  <property fmtid="{D5CDD505-2E9C-101B-9397-08002B2CF9AE}" pid="6" name="MSIP_Label_609f0390-8cd2-4b67-82d6-256ea6522b99_SiteId">
    <vt:lpwstr>97f7fcbd-e642-4be8-b84f-fc2cd7f8d6ff</vt:lpwstr>
  </property>
  <property fmtid="{D5CDD505-2E9C-101B-9397-08002B2CF9AE}" pid="7" name="MSIP_Label_609f0390-8cd2-4b67-82d6-256ea6522b99_ActionId">
    <vt:lpwstr>478e1f24-c73c-4055-9768-949acf527527</vt:lpwstr>
  </property>
  <property fmtid="{D5CDD505-2E9C-101B-9397-08002B2CF9AE}" pid="8" name="MSIP_Label_609f0390-8cd2-4b67-82d6-256ea6522b99_ContentBits">
    <vt:lpwstr>0</vt:lpwstr>
  </property>
  <property fmtid="{D5CDD505-2E9C-101B-9397-08002B2CF9AE}" pid="9" name="MSIP_Label_609f0390-8cd2-4b67-82d6-256ea6522b99_Tag">
    <vt:lpwstr>10, 3, 0, 1</vt:lpwstr>
  </property>
</Properties>
</file>