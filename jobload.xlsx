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Svn\CS767_Track\2.1 Track\"/>
    </mc:Choice>
  </mc:AlternateContent>
  <xr:revisionPtr revIDLastSave="0" documentId="13_ncr:1_{A70D009A-D160-483D-AD69-4B117412AE12}" xr6:coauthVersionLast="47" xr6:coauthVersionMax="47" xr10:uidLastSave="{00000000-0000-0000-0000-000000000000}"/>
  <bookViews>
    <workbookView xWindow="-120" yWindow="-120" windowWidth="19440" windowHeight="10320" xr2:uid="{FCE6DD29-9AB3-4769-8C87-E21FBDA8DDBC}"/>
  </bookViews>
  <sheets>
    <sheet name="Tools-Job Load(FY 2026-2027)" sheetId="4" r:id="rId1"/>
    <sheet name="Month_Wise_Effort" sheetId="2" state="hidden" r:id="rId2"/>
  </sheets>
  <definedNames>
    <definedName name="_xlnm._FilterDatabase" localSheetId="0" hidden="1">'Tools-Job Load(FY 2026-2027)'!$B$5:$P$18</definedName>
    <definedName name="_xlnm.Print_Area" localSheetId="0">'Tools-Job Load(FY 2026-2027)'!$A$2:$NR$56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18" i="4" l="1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CA18" i="4"/>
  <c r="CB18" i="4"/>
  <c r="CC18" i="4"/>
  <c r="CD18" i="4"/>
  <c r="CE18" i="4"/>
  <c r="CF18" i="4"/>
  <c r="CG18" i="4"/>
  <c r="CH18" i="4"/>
  <c r="CI18" i="4"/>
  <c r="CJ18" i="4"/>
  <c r="CK18" i="4"/>
  <c r="CL18" i="4"/>
  <c r="CM18" i="4"/>
  <c r="CN18" i="4"/>
  <c r="CO18" i="4"/>
  <c r="CP18" i="4"/>
  <c r="CQ18" i="4"/>
  <c r="CR18" i="4"/>
  <c r="CS18" i="4"/>
  <c r="CT18" i="4"/>
  <c r="CU18" i="4"/>
  <c r="CV18" i="4"/>
  <c r="CW18" i="4"/>
  <c r="CX18" i="4"/>
  <c r="CY18" i="4"/>
  <c r="CZ18" i="4"/>
  <c r="DA18" i="4"/>
  <c r="DB18" i="4"/>
  <c r="DC18" i="4"/>
  <c r="DD18" i="4"/>
  <c r="DE18" i="4"/>
  <c r="DF18" i="4"/>
  <c r="DG18" i="4"/>
  <c r="DH18" i="4"/>
  <c r="DI18" i="4"/>
  <c r="DJ18" i="4"/>
  <c r="DK18" i="4"/>
  <c r="DL18" i="4"/>
  <c r="DM18" i="4"/>
  <c r="DN18" i="4"/>
  <c r="DO18" i="4"/>
  <c r="DP18" i="4"/>
  <c r="DQ18" i="4"/>
  <c r="DR18" i="4"/>
  <c r="DS18" i="4"/>
  <c r="DT18" i="4"/>
  <c r="DU18" i="4"/>
  <c r="DV18" i="4"/>
  <c r="DW18" i="4"/>
  <c r="DX18" i="4"/>
  <c r="DY18" i="4"/>
  <c r="DZ18" i="4"/>
  <c r="EA18" i="4"/>
  <c r="EB18" i="4"/>
  <c r="EC18" i="4"/>
  <c r="ED18" i="4"/>
  <c r="EE18" i="4"/>
  <c r="EF18" i="4"/>
  <c r="EG18" i="4"/>
  <c r="EH18" i="4"/>
  <c r="EI18" i="4"/>
  <c r="EJ18" i="4"/>
  <c r="EK18" i="4"/>
  <c r="EL18" i="4"/>
  <c r="EM18" i="4"/>
  <c r="EN18" i="4"/>
  <c r="EO18" i="4"/>
  <c r="EP18" i="4"/>
  <c r="EQ18" i="4"/>
  <c r="ER18" i="4"/>
  <c r="ES18" i="4"/>
  <c r="ET18" i="4"/>
  <c r="EU18" i="4"/>
  <c r="EV18" i="4"/>
  <c r="EW18" i="4"/>
  <c r="EX18" i="4"/>
  <c r="EY18" i="4"/>
  <c r="EZ18" i="4"/>
  <c r="FA18" i="4"/>
  <c r="FB18" i="4"/>
  <c r="FC18" i="4"/>
  <c r="FD18" i="4"/>
  <c r="FE18" i="4"/>
  <c r="FF18" i="4"/>
  <c r="FG18" i="4"/>
  <c r="FH18" i="4"/>
  <c r="FI18" i="4"/>
  <c r="FJ18" i="4"/>
  <c r="FK18" i="4"/>
  <c r="FL18" i="4"/>
  <c r="FM18" i="4"/>
  <c r="FN18" i="4"/>
  <c r="FO18" i="4"/>
  <c r="FP18" i="4"/>
  <c r="FQ18" i="4"/>
  <c r="FR18" i="4"/>
  <c r="FS18" i="4"/>
  <c r="FT18" i="4"/>
  <c r="FU18" i="4"/>
  <c r="FV18" i="4"/>
  <c r="FW18" i="4"/>
  <c r="FX18" i="4"/>
  <c r="FY18" i="4"/>
  <c r="FZ18" i="4"/>
  <c r="GA18" i="4"/>
  <c r="GB18" i="4"/>
  <c r="GC18" i="4"/>
  <c r="GD18" i="4"/>
  <c r="GE18" i="4"/>
  <c r="GF18" i="4"/>
  <c r="GG18" i="4"/>
  <c r="GH18" i="4"/>
  <c r="GI18" i="4"/>
  <c r="GJ18" i="4"/>
  <c r="GK18" i="4"/>
  <c r="GL18" i="4"/>
  <c r="GM18" i="4"/>
  <c r="GN18" i="4"/>
  <c r="GO18" i="4"/>
  <c r="GP18" i="4"/>
  <c r="GQ18" i="4"/>
  <c r="GR18" i="4"/>
  <c r="GS18" i="4"/>
  <c r="GT18" i="4"/>
  <c r="GU18" i="4"/>
  <c r="GV18" i="4"/>
  <c r="GW18" i="4"/>
  <c r="GX18" i="4"/>
  <c r="GY18" i="4"/>
  <c r="GZ18" i="4"/>
  <c r="HA18" i="4"/>
  <c r="HB18" i="4"/>
  <c r="HC18" i="4"/>
  <c r="HD18" i="4"/>
  <c r="HE18" i="4"/>
  <c r="HF18" i="4"/>
  <c r="HG18" i="4"/>
  <c r="HH18" i="4"/>
  <c r="HI18" i="4"/>
  <c r="HJ18" i="4"/>
  <c r="HK18" i="4"/>
  <c r="HL18" i="4"/>
  <c r="HM18" i="4"/>
  <c r="HN18" i="4"/>
  <c r="HO18" i="4"/>
  <c r="HP18" i="4"/>
  <c r="HQ18" i="4"/>
  <c r="HR18" i="4"/>
  <c r="HS18" i="4"/>
  <c r="HT18" i="4"/>
  <c r="HU18" i="4"/>
  <c r="HV18" i="4"/>
  <c r="HW18" i="4"/>
  <c r="HX18" i="4"/>
  <c r="HY18" i="4"/>
  <c r="HZ18" i="4"/>
  <c r="IA18" i="4"/>
  <c r="IB18" i="4"/>
  <c r="IC18" i="4"/>
  <c r="ID18" i="4"/>
  <c r="IE18" i="4"/>
  <c r="IF18" i="4"/>
  <c r="IG18" i="4"/>
  <c r="IH18" i="4"/>
  <c r="II18" i="4"/>
  <c r="IJ18" i="4"/>
  <c r="IK18" i="4"/>
  <c r="IL18" i="4"/>
  <c r="IM18" i="4"/>
  <c r="IN18" i="4"/>
  <c r="IO18" i="4"/>
  <c r="IP18" i="4"/>
  <c r="IQ18" i="4"/>
  <c r="IR18" i="4"/>
  <c r="IS18" i="4"/>
  <c r="IT18" i="4"/>
  <c r="IU18" i="4"/>
  <c r="IV18" i="4"/>
  <c r="IW18" i="4"/>
  <c r="IX18" i="4"/>
  <c r="IY18" i="4"/>
  <c r="IZ18" i="4"/>
  <c r="JA18" i="4"/>
  <c r="JB18" i="4"/>
  <c r="JC18" i="4"/>
  <c r="JD18" i="4"/>
  <c r="JE18" i="4"/>
  <c r="JF18" i="4"/>
  <c r="JG18" i="4"/>
  <c r="JH18" i="4"/>
  <c r="JI18" i="4"/>
  <c r="JJ18" i="4"/>
  <c r="JK18" i="4"/>
  <c r="JL18" i="4"/>
  <c r="JM18" i="4"/>
  <c r="JN18" i="4"/>
  <c r="JO18" i="4"/>
  <c r="JP18" i="4"/>
  <c r="JQ18" i="4"/>
  <c r="JR18" i="4"/>
  <c r="JS18" i="4"/>
  <c r="JT18" i="4"/>
  <c r="JU18" i="4"/>
  <c r="JV18" i="4"/>
  <c r="JW18" i="4"/>
  <c r="JX18" i="4"/>
  <c r="JY18" i="4"/>
  <c r="JZ18" i="4"/>
  <c r="KA18" i="4"/>
  <c r="KB18" i="4"/>
  <c r="KC18" i="4"/>
  <c r="KD18" i="4"/>
  <c r="KE18" i="4"/>
  <c r="KF18" i="4"/>
  <c r="KG18" i="4"/>
  <c r="KH18" i="4"/>
  <c r="KI18" i="4"/>
  <c r="KJ18" i="4"/>
  <c r="KK18" i="4"/>
  <c r="KL18" i="4"/>
  <c r="KM18" i="4"/>
  <c r="KN18" i="4"/>
  <c r="KO18" i="4"/>
  <c r="KP18" i="4"/>
  <c r="KQ18" i="4"/>
  <c r="KR18" i="4"/>
  <c r="KS18" i="4"/>
  <c r="KT18" i="4"/>
  <c r="KU18" i="4"/>
  <c r="KV18" i="4"/>
  <c r="KW18" i="4"/>
  <c r="KX18" i="4"/>
  <c r="KY18" i="4"/>
  <c r="KZ18" i="4"/>
  <c r="LA18" i="4"/>
  <c r="LB18" i="4"/>
  <c r="LC18" i="4"/>
  <c r="LD18" i="4"/>
  <c r="LE18" i="4"/>
  <c r="LF18" i="4"/>
  <c r="LG18" i="4"/>
  <c r="LH18" i="4"/>
  <c r="LI18" i="4"/>
  <c r="LJ18" i="4"/>
  <c r="LK18" i="4"/>
  <c r="LL18" i="4"/>
  <c r="LM18" i="4"/>
  <c r="LN18" i="4"/>
  <c r="LO18" i="4"/>
  <c r="LP18" i="4"/>
  <c r="BL18" i="4"/>
  <c r="I15" i="4"/>
  <c r="I16" i="4"/>
  <c r="I17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AJ18" i="4"/>
  <c r="BJ18" i="4"/>
  <c r="BK18" i="4"/>
  <c r="I14" i="4"/>
  <c r="I13" i="4"/>
  <c r="I10" i="4" l="1"/>
  <c r="H18" i="4"/>
  <c r="I12" i="4"/>
  <c r="I11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LQ18" i="4"/>
  <c r="LR18" i="4"/>
  <c r="LS18" i="4"/>
  <c r="LT18" i="4"/>
  <c r="LU18" i="4"/>
  <c r="LV18" i="4"/>
  <c r="LW18" i="4"/>
  <c r="LX18" i="4"/>
  <c r="LY18" i="4"/>
  <c r="LZ18" i="4"/>
  <c r="MA18" i="4"/>
  <c r="MB18" i="4"/>
  <c r="MC18" i="4"/>
  <c r="MD18" i="4"/>
  <c r="ME18" i="4"/>
  <c r="MF18" i="4"/>
  <c r="MG18" i="4"/>
  <c r="MH18" i="4"/>
  <c r="MI18" i="4"/>
  <c r="MJ18" i="4"/>
  <c r="MK18" i="4"/>
  <c r="ML18" i="4"/>
  <c r="MM18" i="4"/>
  <c r="MN18" i="4"/>
  <c r="MO18" i="4"/>
  <c r="MP18" i="4"/>
  <c r="MQ18" i="4"/>
  <c r="MR18" i="4"/>
  <c r="MS18" i="4"/>
  <c r="MT18" i="4"/>
  <c r="MU18" i="4"/>
  <c r="MV18" i="4"/>
  <c r="MW18" i="4"/>
  <c r="MX18" i="4"/>
  <c r="MY18" i="4"/>
  <c r="MZ18" i="4"/>
  <c r="NA18" i="4"/>
  <c r="NB18" i="4"/>
  <c r="NC18" i="4"/>
  <c r="ND18" i="4"/>
  <c r="NE18" i="4"/>
  <c r="NF18" i="4"/>
  <c r="NG18" i="4"/>
  <c r="NH18" i="4"/>
  <c r="NI18" i="4"/>
  <c r="NJ18" i="4"/>
  <c r="NK18" i="4"/>
  <c r="NL18" i="4"/>
  <c r="NM18" i="4"/>
  <c r="NN18" i="4"/>
  <c r="NO18" i="4"/>
  <c r="NP18" i="4"/>
  <c r="NQ18" i="4"/>
  <c r="NR18" i="4"/>
  <c r="R18" i="4"/>
  <c r="S18" i="4"/>
  <c r="T18" i="4"/>
  <c r="U18" i="4"/>
  <c r="V18" i="4"/>
  <c r="Q18" i="4"/>
  <c r="I9" i="4"/>
  <c r="I7" i="4"/>
  <c r="I8" i="4"/>
  <c r="I6" i="4"/>
  <c r="E55" i="4"/>
  <c r="L39" i="4"/>
  <c r="K39" i="4"/>
  <c r="J39" i="4"/>
  <c r="I39" i="4"/>
  <c r="H39" i="4"/>
  <c r="G39" i="4"/>
  <c r="F39" i="4"/>
  <c r="E39" i="4"/>
  <c r="D39" i="4"/>
  <c r="C39" i="4"/>
  <c r="I1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tc={D4D49604-A2CE-4DFB-86E7-9878D300169F}</author>
    <author>tc={BFDC1BCC-FBF9-471A-AA36-DCD1D26C8482}</author>
    <author>tc={DDA505D5-B4F4-46A0-BCC9-DC07DE6F78B9}</author>
    <author>tc={73BB6891-59B2-4C31-91D4-0D9BE1D31FB5}</author>
  </authors>
  <commentList>
    <comment ref="L11" authorId="0" shapeId="0" xr:uid="{D4D49604-A2CE-4DFB-86E7-9878D300169F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Tool Requirement Analysis start date</t>
      </text>
    </comment>
    <comment ref="L12" authorId="1" shapeId="0" xr:uid="{BFDC1BCC-FBF9-471A-AA36-DCD1D26C8482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Tool Requirement Analysis start date</t>
      </text>
    </comment>
    <comment ref="L13" authorId="2" shapeId="0" xr:uid="{DDA505D5-B4F4-46A0-BCC9-DC07DE6F78B9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Tool Requirement Analysis start date</t>
      </text>
    </comment>
    <comment ref="L14" authorId="3" shapeId="0" xr:uid="{73BB6891-59B2-4C31-91D4-0D9BE1D31FB5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Tool Requirement Analysis start date</t>
      </text>
    </comment>
  </commentList>
</comments>
</file>

<file path=xl/sharedStrings.xml><?xml version="1.0" encoding="utf-8"?>
<sst xmlns="http://schemas.openxmlformats.org/spreadsheetml/2006/main" count="236" uniqueCount="121">
  <si>
    <t>Released</t>
    <phoneticPr fontId="3"/>
  </si>
  <si>
    <t>○</t>
    <phoneticPr fontId="3"/>
  </si>
  <si>
    <t>Other Team ID Creation</t>
    <phoneticPr fontId="3"/>
  </si>
  <si>
    <t>Effort 9MH / Per day calculation done</t>
    <phoneticPr fontId="3"/>
  </si>
  <si>
    <t>Updated Order List Effort Modified ( Loading refreence Purpose)</t>
    <phoneticPr fontId="3"/>
  </si>
  <si>
    <t>YTS</t>
    <phoneticPr fontId="3"/>
  </si>
  <si>
    <t>×</t>
    <phoneticPr fontId="3"/>
  </si>
  <si>
    <t>Approximation load (need to confirm)</t>
    <phoneticPr fontId="3"/>
  </si>
  <si>
    <t>Effort Not confirmed</t>
    <phoneticPr fontId="3"/>
  </si>
  <si>
    <t>Job Hold</t>
    <phoneticPr fontId="3"/>
  </si>
  <si>
    <t>WIP</t>
    <phoneticPr fontId="3"/>
  </si>
  <si>
    <t>▲</t>
    <phoneticPr fontId="3"/>
  </si>
  <si>
    <t>Effort Modified</t>
    <phoneticPr fontId="3"/>
  </si>
  <si>
    <t>No.</t>
    <phoneticPr fontId="8"/>
  </si>
  <si>
    <t>Project ID</t>
    <phoneticPr fontId="3"/>
  </si>
  <si>
    <t>Project Name</t>
    <phoneticPr fontId="3"/>
  </si>
  <si>
    <t>Project Type</t>
    <phoneticPr fontId="3"/>
  </si>
  <si>
    <t>Leads</t>
    <phoneticPr fontId="8"/>
  </si>
  <si>
    <t>Team
Members</t>
    <phoneticPr fontId="3"/>
  </si>
  <si>
    <t>Salesforce Effort/Internal Effort(MH)</t>
    <phoneticPr fontId="3"/>
  </si>
  <si>
    <t>Tools Team Commit Effort
 (MH)</t>
    <phoneticPr fontId="8"/>
  </si>
  <si>
    <t>Job Order NO.</t>
    <phoneticPr fontId="8"/>
  </si>
  <si>
    <t>Project Team</t>
    <phoneticPr fontId="8"/>
  </si>
  <si>
    <t>Start Date</t>
    <phoneticPr fontId="8"/>
  </si>
  <si>
    <t xml:space="preserve">Release Date </t>
    <phoneticPr fontId="3"/>
  </si>
  <si>
    <t>Remarks</t>
    <phoneticPr fontId="3"/>
  </si>
  <si>
    <t>Language</t>
    <phoneticPr fontId="3"/>
  </si>
  <si>
    <t>Job Status</t>
    <phoneticPr fontId="3"/>
  </si>
  <si>
    <t>In-house</t>
    <phoneticPr fontId="3"/>
  </si>
  <si>
    <t>SK</t>
    <phoneticPr fontId="3"/>
  </si>
  <si>
    <t>PS</t>
    <phoneticPr fontId="3"/>
  </si>
  <si>
    <t>-</t>
    <phoneticPr fontId="3"/>
  </si>
  <si>
    <t>Client</t>
    <phoneticPr fontId="3"/>
  </si>
  <si>
    <t>SVAT</t>
    <phoneticPr fontId="3"/>
  </si>
  <si>
    <t>C#</t>
    <phoneticPr fontId="3"/>
  </si>
  <si>
    <t>COE</t>
    <phoneticPr fontId="3"/>
  </si>
  <si>
    <t>Python</t>
    <phoneticPr fontId="3"/>
  </si>
  <si>
    <t>CS713AB</t>
    <phoneticPr fontId="3"/>
  </si>
  <si>
    <t>AD_(In-House)ENG_CAPL_GenTool-Analysis]</t>
    <phoneticPr fontId="3"/>
  </si>
  <si>
    <t>ADAS</t>
    <phoneticPr fontId="3"/>
  </si>
  <si>
    <t>SR</t>
    <phoneticPr fontId="3"/>
  </si>
  <si>
    <t>CS713BA</t>
    <phoneticPr fontId="3"/>
  </si>
  <si>
    <t>Month</t>
  </si>
  <si>
    <t>SVAT
Jobs Count</t>
    <phoneticPr fontId="3"/>
  </si>
  <si>
    <t>ADAS
Jobs Count</t>
    <phoneticPr fontId="3"/>
  </si>
  <si>
    <t>AD Tech
Jobs Count</t>
    <phoneticPr fontId="3"/>
  </si>
  <si>
    <t>COE
Jobs Count</t>
    <phoneticPr fontId="3"/>
  </si>
  <si>
    <t>GUNMA
Jobs Count</t>
    <phoneticPr fontId="3"/>
  </si>
  <si>
    <t>HASA
Jobs Count</t>
    <phoneticPr fontId="3"/>
  </si>
  <si>
    <t>MASTA
Jobs Count</t>
    <phoneticPr fontId="3"/>
  </si>
  <si>
    <t>MBD
Jobs Count</t>
    <phoneticPr fontId="3"/>
  </si>
  <si>
    <t>PMO
Jobs Count</t>
    <phoneticPr fontId="3"/>
  </si>
  <si>
    <t>KENSHOU
Jobs Count</t>
    <phoneticPr fontId="3"/>
  </si>
  <si>
    <t>Total</t>
  </si>
  <si>
    <t>Month</t>
    <phoneticPr fontId="3"/>
  </si>
  <si>
    <t>MIN
Load
Reach</t>
    <phoneticPr fontId="3"/>
  </si>
  <si>
    <t>MAX
Load Reach</t>
    <phoneticPr fontId="3"/>
  </si>
  <si>
    <t>Release Count</t>
    <phoneticPr fontId="3"/>
  </si>
  <si>
    <t>Average Load / Day</t>
    <phoneticPr fontId="3"/>
  </si>
  <si>
    <t>AVERAGE</t>
    <phoneticPr fontId="3"/>
  </si>
  <si>
    <t xml:space="preserve">          S.NO</t>
    <phoneticPr fontId="3"/>
  </si>
  <si>
    <t xml:space="preserve">PROJECT ID </t>
    <phoneticPr fontId="3"/>
  </si>
  <si>
    <t xml:space="preserve">   Team</t>
    <phoneticPr fontId="3"/>
  </si>
  <si>
    <t>Client/
Internal</t>
    <phoneticPr fontId="3"/>
  </si>
  <si>
    <t>Member</t>
    <phoneticPr fontId="3"/>
  </si>
  <si>
    <t>Effort</t>
    <phoneticPr fontId="3"/>
  </si>
  <si>
    <t xml:space="preserve">Members shared </t>
    <phoneticPr fontId="3"/>
  </si>
  <si>
    <t>CCS_Code_Tool</t>
    <phoneticPr fontId="3"/>
  </si>
  <si>
    <t>YS</t>
    <phoneticPr fontId="3"/>
  </si>
  <si>
    <t>CS753F</t>
    <phoneticPr fontId="3"/>
  </si>
  <si>
    <t>CS753J</t>
    <phoneticPr fontId="3"/>
  </si>
  <si>
    <t>CAN_MessageList _Diff_Tool</t>
    <phoneticPr fontId="3"/>
  </si>
  <si>
    <t>CAN-Prerequest Tool</t>
    <phoneticPr fontId="3"/>
  </si>
  <si>
    <t>ADAS-BSW</t>
    <phoneticPr fontId="3"/>
  </si>
  <si>
    <t>CAN_MessageList _Diff_Tool_V3.0</t>
    <phoneticPr fontId="3"/>
  </si>
  <si>
    <t>XREF- Read_Write updation Tool</t>
    <phoneticPr fontId="3"/>
  </si>
  <si>
    <t>CS753L</t>
    <phoneticPr fontId="3"/>
  </si>
  <si>
    <t>Grep_Doc_Tool</t>
    <phoneticPr fontId="3"/>
  </si>
  <si>
    <t>CS753N</t>
    <phoneticPr fontId="3"/>
  </si>
  <si>
    <t>Internal</t>
    <phoneticPr fontId="3"/>
  </si>
  <si>
    <r>
      <t>CS753</t>
    </r>
    <r>
      <rPr>
        <sz val="13"/>
        <color theme="1"/>
        <rFont val="ＭＳ Ｐ明朝"/>
        <family val="1"/>
        <charset val="128"/>
      </rPr>
      <t>Ｋ</t>
    </r>
    <phoneticPr fontId="3"/>
  </si>
  <si>
    <t>HASG</t>
    <phoneticPr fontId="3"/>
  </si>
  <si>
    <t>Requirement Analysis</t>
    <phoneticPr fontId="3"/>
  </si>
  <si>
    <t>CS753AB</t>
    <phoneticPr fontId="3"/>
  </si>
  <si>
    <t>Outlook_Configuration_Tool</t>
    <phoneticPr fontId="3"/>
  </si>
  <si>
    <t>SG</t>
    <phoneticPr fontId="3"/>
  </si>
  <si>
    <t>PMO</t>
    <phoneticPr fontId="3"/>
  </si>
  <si>
    <t>CS753AA</t>
    <phoneticPr fontId="3"/>
  </si>
  <si>
    <t>TAS_TOOL_VER_2.1</t>
    <phoneticPr fontId="3"/>
  </si>
  <si>
    <t>PS</t>
    <phoneticPr fontId="3"/>
  </si>
  <si>
    <t>PMO</t>
    <phoneticPr fontId="3"/>
  </si>
  <si>
    <t>VBA</t>
    <phoneticPr fontId="3"/>
  </si>
  <si>
    <t>CS753AC</t>
    <phoneticPr fontId="3"/>
  </si>
  <si>
    <t>SRMT-xxxxx-Autograph Tool-v1.1</t>
    <phoneticPr fontId="3"/>
  </si>
  <si>
    <t>CS753AE</t>
    <phoneticPr fontId="3"/>
  </si>
  <si>
    <t>RAM_ROM_Memory_Calculation_Tool</t>
    <phoneticPr fontId="3"/>
  </si>
  <si>
    <t>NPCU Regression Testing Execution Tool</t>
    <phoneticPr fontId="3"/>
  </si>
  <si>
    <t>SR, SU</t>
    <phoneticPr fontId="3"/>
  </si>
  <si>
    <t>CS767G</t>
    <phoneticPr fontId="3"/>
  </si>
  <si>
    <t>YS,PS</t>
    <phoneticPr fontId="3"/>
  </si>
  <si>
    <t>RE-DEV</t>
    <phoneticPr fontId="3"/>
  </si>
  <si>
    <t>CS767H</t>
    <phoneticPr fontId="3"/>
  </si>
  <si>
    <t>CS767I</t>
    <phoneticPr fontId="3"/>
  </si>
  <si>
    <t>GUNMA_IH_CAN FD macro-v1.1</t>
    <phoneticPr fontId="3"/>
  </si>
  <si>
    <t>GUNMA_IH_SD_Automation_Tool</t>
    <phoneticPr fontId="3"/>
  </si>
  <si>
    <t>RE-KEN</t>
    <phoneticPr fontId="3"/>
  </si>
  <si>
    <t xml:space="preserve">490 hrs effort shared in order 875668 PJ117 B NISSAN FACE-PCU 2025_Q4 </t>
    <phoneticPr fontId="3"/>
  </si>
  <si>
    <t>ADAS_IH_SDS_Tool</t>
    <phoneticPr fontId="3"/>
  </si>
  <si>
    <t>CS767J</t>
    <phoneticPr fontId="3"/>
  </si>
  <si>
    <t>CS767K</t>
    <phoneticPr fontId="3"/>
  </si>
  <si>
    <t>MASTA_IH_RAM_Configuration_Support_Tool</t>
    <phoneticPr fontId="3"/>
  </si>
  <si>
    <t>MASTA</t>
    <phoneticPr fontId="3"/>
  </si>
  <si>
    <t>PS, SG</t>
    <phoneticPr fontId="3"/>
  </si>
  <si>
    <t xml:space="preserve">NEW TOOL Autograph </t>
    <phoneticPr fontId="3"/>
  </si>
  <si>
    <t>Tool was hold due to estimation confirmation.</t>
    <phoneticPr fontId="3"/>
  </si>
  <si>
    <t>CS767L</t>
    <phoneticPr fontId="3"/>
  </si>
  <si>
    <t>Outlook_Cofiguration_Tool-V1.01</t>
    <phoneticPr fontId="3"/>
  </si>
  <si>
    <t>In-House</t>
    <phoneticPr fontId="3"/>
  </si>
  <si>
    <t>Status Mail Report Tracking Tool</t>
    <phoneticPr fontId="3"/>
  </si>
  <si>
    <t>Hold due to Sundar G is supporting to Dev ST (19-05-2026).</t>
    <phoneticPr fontId="3"/>
  </si>
  <si>
    <t>CS767N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</si>
</sst>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mmm\-yy;@"/>
  </numFmts>
  <fonts count="1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Arial"/>
      <family val="2"/>
    </font>
    <font>
      <sz val="6"/>
      <name val="游ゴシック"/>
      <family val="2"/>
      <charset val="128"/>
      <scheme val="minor"/>
    </font>
    <font>
      <b/>
      <sz val="11"/>
      <color rgb="FF3333FF"/>
      <name val="ＭＳ Ｐゴシック"/>
      <family val="3"/>
      <charset val="128"/>
    </font>
    <font>
      <b/>
      <sz val="11"/>
      <color rgb="FFC00000"/>
      <name val="Arial"/>
      <family val="2"/>
    </font>
    <font>
      <sz val="11"/>
      <color theme="5"/>
      <name val="ＭＳ Ｐゴシック"/>
      <family val="3"/>
      <charset val="128"/>
    </font>
    <font>
      <b/>
      <sz val="11"/>
      <name val="Arial"/>
      <family val="2"/>
    </font>
    <font>
      <sz val="6"/>
      <name val="ＭＳ Ｐゴシック"/>
      <family val="3"/>
      <charset val="128"/>
    </font>
    <font>
      <b/>
      <sz val="11"/>
      <color theme="1"/>
      <name val="Arial"/>
      <family val="2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b/>
      <sz val="11"/>
      <color theme="1"/>
      <name val="游ゴシック"/>
      <family val="3"/>
      <charset val="128"/>
      <scheme val="minor"/>
    </font>
    <font>
      <sz val="11"/>
      <name val="Arial"/>
      <family val="2"/>
    </font>
    <font>
      <b/>
      <sz val="11"/>
      <color rgb="FF3333FF"/>
      <name val="游ゴシック"/>
      <family val="3"/>
      <charset val="128"/>
      <scheme val="minor"/>
    </font>
    <font>
      <sz val="13"/>
      <color theme="1"/>
      <name val="ＭＳ Ｐ明朝"/>
      <family val="1"/>
      <charset val="128"/>
    </font>
  </fonts>
  <fills count="1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BD4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2" borderId="4" xfId="0" applyFont="1" applyFill="1" applyBorder="1">
      <alignment vertical="center"/>
    </xf>
    <xf numFmtId="0" fontId="2" fillId="3" borderId="4" xfId="0" applyFont="1" applyFill="1" applyBorder="1">
      <alignment vertical="center"/>
    </xf>
    <xf numFmtId="0" fontId="2" fillId="4" borderId="0" xfId="0" applyFont="1" applyFill="1">
      <alignment vertical="center"/>
    </xf>
    <xf numFmtId="0" fontId="5" fillId="0" borderId="0" xfId="0" applyFont="1" applyAlignment="1">
      <alignment horizontal="center" vertical="center"/>
    </xf>
    <xf numFmtId="0" fontId="2" fillId="5" borderId="4" xfId="0" applyFont="1" applyFill="1" applyBorder="1">
      <alignment vertical="center"/>
    </xf>
    <xf numFmtId="0" fontId="2" fillId="6" borderId="4" xfId="0" applyFont="1" applyFill="1" applyBorder="1">
      <alignment vertical="center"/>
    </xf>
    <xf numFmtId="0" fontId="2" fillId="7" borderId="0" xfId="0" applyFont="1" applyFill="1">
      <alignment vertical="center"/>
    </xf>
    <xf numFmtId="0" fontId="6" fillId="0" borderId="0" xfId="0" applyFont="1" applyAlignment="1">
      <alignment horizontal="center" vertical="center"/>
    </xf>
    <xf numFmtId="0" fontId="2" fillId="8" borderId="4" xfId="0" applyFont="1" applyFill="1" applyBorder="1">
      <alignment vertical="center"/>
    </xf>
    <xf numFmtId="0" fontId="2" fillId="9" borderId="4" xfId="0" applyFont="1" applyFill="1" applyBorder="1">
      <alignment vertical="center"/>
    </xf>
    <xf numFmtId="0" fontId="2" fillId="10" borderId="0" xfId="0" applyFont="1" applyFill="1">
      <alignment vertical="center"/>
    </xf>
    <xf numFmtId="0" fontId="7" fillId="11" borderId="10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 wrapText="1"/>
    </xf>
    <xf numFmtId="14" fontId="7" fillId="11" borderId="10" xfId="1" applyNumberFormat="1" applyFont="1" applyFill="1" applyBorder="1" applyAlignment="1">
      <alignment horizontal="center" vertical="center" wrapText="1"/>
    </xf>
    <xf numFmtId="0" fontId="7" fillId="11" borderId="11" xfId="0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9" fillId="0" borderId="4" xfId="0" applyFont="1" applyBorder="1">
      <alignment vertical="center"/>
    </xf>
    <xf numFmtId="0" fontId="9" fillId="12" borderId="4" xfId="0" applyFont="1" applyFill="1" applyBorder="1">
      <alignment vertical="center"/>
    </xf>
    <xf numFmtId="0" fontId="9" fillId="0" borderId="4" xfId="0" applyFont="1" applyBorder="1" applyAlignment="1">
      <alignment horizontal="center" vertical="center"/>
    </xf>
    <xf numFmtId="0" fontId="9" fillId="1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0" fillId="0" borderId="4" xfId="0" applyFont="1" applyBorder="1">
      <alignment vertical="center"/>
    </xf>
    <xf numFmtId="0" fontId="10" fillId="0" borderId="4" xfId="0" applyFont="1" applyBorder="1" applyAlignment="1">
      <alignment horizontal="left" vertical="center"/>
    </xf>
    <xf numFmtId="0" fontId="2" fillId="0" borderId="4" xfId="0" applyFont="1" applyBorder="1">
      <alignment vertical="center"/>
    </xf>
    <xf numFmtId="0" fontId="2" fillId="12" borderId="4" xfId="0" applyFont="1" applyFill="1" applyBorder="1">
      <alignment vertical="center"/>
    </xf>
    <xf numFmtId="0" fontId="2" fillId="10" borderId="4" xfId="0" applyFont="1" applyFill="1" applyBorder="1">
      <alignment vertical="center"/>
    </xf>
    <xf numFmtId="0" fontId="2" fillId="0" borderId="12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12" fillId="14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7" fontId="9" fillId="5" borderId="4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13" fillId="0" borderId="0" xfId="0" applyFont="1">
      <alignment vertical="center"/>
    </xf>
    <xf numFmtId="2" fontId="13" fillId="0" borderId="0" xfId="0" applyNumberFormat="1" applyFont="1" applyAlignment="1">
      <alignment horizontal="center" vertical="center"/>
    </xf>
    <xf numFmtId="0" fontId="14" fillId="7" borderId="4" xfId="0" applyFont="1" applyFill="1" applyBorder="1" applyAlignment="1">
      <alignment horizontal="center" vertical="center" wrapText="1"/>
    </xf>
    <xf numFmtId="0" fontId="9" fillId="13" borderId="4" xfId="0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center" vertical="center" wrapText="1"/>
    </xf>
    <xf numFmtId="0" fontId="9" fillId="15" borderId="4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17" fontId="2" fillId="0" borderId="4" xfId="0" applyNumberFormat="1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2" fontId="2" fillId="8" borderId="4" xfId="0" applyNumberFormat="1" applyFont="1" applyFill="1" applyBorder="1" applyAlignment="1">
      <alignment horizontal="center" vertical="center"/>
    </xf>
    <xf numFmtId="2" fontId="9" fillId="15" borderId="4" xfId="0" applyNumberFormat="1" applyFont="1" applyFill="1" applyBorder="1" applyAlignment="1">
      <alignment horizontal="center" vertical="center"/>
    </xf>
    <xf numFmtId="17" fontId="12" fillId="0" borderId="0" xfId="0" applyNumberFormat="1" applyFont="1">
      <alignment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>
      <alignment vertical="center"/>
    </xf>
    <xf numFmtId="0" fontId="12" fillId="0" borderId="14" xfId="0" applyFont="1" applyBorder="1" applyAlignment="1">
      <alignment vertical="center" wrapText="1"/>
    </xf>
    <xf numFmtId="0" fontId="12" fillId="0" borderId="15" xfId="0" applyFont="1" applyBorder="1">
      <alignment vertical="center"/>
    </xf>
    <xf numFmtId="0" fontId="0" fillId="0" borderId="16" xfId="0" applyBorder="1">
      <alignment vertical="center"/>
    </xf>
    <xf numFmtId="0" fontId="11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17" fontId="9" fillId="0" borderId="4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14" fontId="2" fillId="0" borderId="12" xfId="0" applyNumberFormat="1" applyFont="1" applyBorder="1" applyAlignment="1">
      <alignment horizontal="center" vertical="center"/>
    </xf>
    <xf numFmtId="0" fontId="2" fillId="17" borderId="4" xfId="0" applyFont="1" applyFill="1" applyBorder="1">
      <alignment vertical="center"/>
    </xf>
    <xf numFmtId="0" fontId="6" fillId="0" borderId="4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4">
    <dxf>
      <font>
        <color rgb="FF9C5700"/>
      </font>
      <fill>
        <patternFill>
          <bgColor rgb="FFFFEB9C"/>
        </patternFill>
      </fill>
    </dxf>
    <dxf>
      <font>
        <color rgb="FF0000FF"/>
      </font>
      <fill>
        <patternFill>
          <bgColor theme="9" tint="0.79998168889431442"/>
        </patternFill>
      </fill>
    </dxf>
    <dxf>
      <font>
        <color rgb="FF7030A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3023</xdr:colOff>
      <xdr:row>1</xdr:row>
      <xdr:rowOff>10583</xdr:rowOff>
    </xdr:from>
    <xdr:to>
      <xdr:col>3</xdr:col>
      <xdr:colOff>141403</xdr:colOff>
      <xdr:row>3</xdr:row>
      <xdr:rowOff>52916</xdr:rowOff>
    </xdr:to>
    <xdr:pic>
      <xdr:nvPicPr>
        <xdr:cNvPr id="2" name="Picture 5" descr="E:\SRM Tech\SRMTech_Logo_03Sep2020.jpg">
          <a:extLst>
            <a:ext uri="{FF2B5EF4-FFF2-40B4-BE49-F238E27FC236}">
              <a16:creationId xmlns:a16="http://schemas.microsoft.com/office/drawing/2014/main" id="{DF9367C5-6164-43C7-ACBD-764ACF984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00" t="36250" r="4584" b="39166"/>
        <a:stretch>
          <a:fillRect/>
        </a:stretch>
      </xdr:blipFill>
      <xdr:spPr bwMode="auto">
        <a:xfrm>
          <a:off x="688823" y="10583"/>
          <a:ext cx="1805255" cy="5281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ivasree Rajendran" id="{53CE9D88-7AC6-48FB-811C-552016F9A479}" userId="S::sivasree.rajendran@srmtech.com::eccb91d1-3572-4586-b110-97f7612f3db5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1" dT="2026-04-08T14:13:09.29" personId="{53CE9D88-7AC6-48FB-811C-552016F9A479}" id="{D4D49604-A2CE-4DFB-86E7-9878D300169F}">
    <text>New Tool Requirement Analysis start date</text>
  </threadedComment>
  <threadedComment ref="L12" dT="2026-04-08T14:13:09.29" personId="{53CE9D88-7AC6-48FB-811C-552016F9A479}" id="{BFDC1BCC-FBF9-471A-AA36-DCD1D26C8482}">
    <text>New Tool Requirement Analysis start date</text>
  </threadedComment>
  <threadedComment ref="L13" dT="2026-04-08T14:13:09.29" personId="{53CE9D88-7AC6-48FB-811C-552016F9A479}" id="{DDA505D5-B4F4-46A0-BCC9-DC07DE6F78B9}">
    <text>New Tool Requirement Analysis start date</text>
  </threadedComment>
  <threadedComment ref="L14" dT="2026-04-08T14:13:09.29" personId="{53CE9D88-7AC6-48FB-811C-552016F9A479}" id="{73BB6891-59B2-4C31-91D4-0D9BE1D31FB5}">
    <text>New Tool Requirement Analysis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BCA63-28C3-4804-801E-1DFBBD5FB901}">
  <sheetPr codeName="Sheet1"/>
  <dimension ref="A1:NR55"/>
  <sheetViews>
    <sheetView tabSelected="1" view="pageBreakPreview" topLeftCell="B2" zoomScale="70" zoomScaleNormal="100" zoomScaleSheetLayoutView="70" workbookViewId="0">
      <pane xSplit="6" ySplit="4" topLeftCell="H6" activePane="bottomRight" state="frozen"/>
      <selection activeCell="B2" sqref="B2"/>
      <selection pane="topRight" activeCell="H2" sqref="H2"/>
      <selection pane="bottomLeft" activeCell="B6" sqref="B6"/>
      <selection pane="bottomRight" activeCell="H6" sqref="H6"/>
    </sheetView>
  </sheetViews>
  <sheetFormatPr defaultRowHeight="18.75" outlineLevelCol="2" x14ac:dyDescent="0.4"/>
  <cols>
    <col min="1" max="1" width="9" style="1" customWidth="1"/>
    <col min="2" max="2" width="7.75" style="1" bestFit="1" customWidth="1"/>
    <col min="3" max="3" width="14.125" style="1" customWidth="1"/>
    <col min="4" max="4" width="73.875" style="1" customWidth="1"/>
    <col min="5" max="5" width="18" style="1" customWidth="1"/>
    <col min="6" max="6" width="16" style="1" customWidth="1"/>
    <col min="7" max="7" width="18.25" style="1" customWidth="1"/>
    <col min="8" max="8" width="18.875" style="1" customWidth="1"/>
    <col min="9" max="9" width="14.375" style="1" customWidth="1"/>
    <col min="10" max="10" width="39.625" style="1" customWidth="1"/>
    <col min="11" max="11" width="16.125" style="1" customWidth="1"/>
    <col min="12" max="12" width="17.375" style="1" customWidth="1"/>
    <col min="13" max="13" width="20.875" style="1" customWidth="1"/>
    <col min="14" max="14" width="54" style="1" customWidth="1"/>
    <col min="15" max="15" width="19.875" style="1" customWidth="1"/>
    <col min="16" max="16" width="11.125" style="1" customWidth="1"/>
    <col min="17" max="17" width="4" style="1" customWidth="1" outlineLevel="1"/>
    <col min="18" max="18" width="3.5" style="1" customWidth="1" outlineLevel="1"/>
    <col min="19" max="19" width="4" style="1" customWidth="1" outlineLevel="1"/>
    <col min="20" max="20" width="5.625" style="1" customWidth="1" outlineLevel="1"/>
    <col min="21" max="21" width="4" style="1" customWidth="1" outlineLevel="1"/>
    <col min="22" max="22" width="4.75" style="1" customWidth="1" outlineLevel="1"/>
    <col min="23" max="23" width="4.375" style="1" customWidth="1" outlineLevel="1"/>
    <col min="24" max="24" width="5.25" style="1" customWidth="1" outlineLevel="1"/>
    <col min="25" max="25" width="5.375" style="1" customWidth="1" outlineLevel="1"/>
    <col min="26" max="26" width="5.125" style="1" customWidth="1" outlineLevel="1"/>
    <col min="27" max="28" width="4" style="1" customWidth="1" outlineLevel="1"/>
    <col min="29" max="29" width="4.75" style="1" customWidth="1" outlineLevel="1"/>
    <col min="30" max="30" width="4.875" style="1" customWidth="1" outlineLevel="1"/>
    <col min="31" max="31" width="4.375" style="1" customWidth="1" outlineLevel="1"/>
    <col min="32" max="32" width="4.875" style="1" customWidth="1" outlineLevel="1"/>
    <col min="33" max="33" width="5.25" style="1" customWidth="1" outlineLevel="1"/>
    <col min="34" max="34" width="5.125" style="1" customWidth="1" outlineLevel="1"/>
    <col min="35" max="35" width="4" style="1" customWidth="1" outlineLevel="1"/>
    <col min="36" max="36" width="5.75" style="1" customWidth="1" outlineLevel="1"/>
    <col min="37" max="37" width="5.25" style="1" customWidth="1" outlineLevel="1"/>
    <col min="38" max="39" width="4.75" style="1" customWidth="1" outlineLevel="1"/>
    <col min="40" max="40" width="4.875" style="1" customWidth="1" outlineLevel="1"/>
    <col min="41" max="41" width="6.625" style="1" customWidth="1" outlineLevel="1"/>
    <col min="42" max="42" width="3.625" style="1" customWidth="1" outlineLevel="1"/>
    <col min="43" max="43" width="6.5" style="1" customWidth="1" outlineLevel="1"/>
    <col min="44" max="44" width="7" style="1" customWidth="1" outlineLevel="1"/>
    <col min="45" max="45" width="5.75" style="1" customWidth="1" outlineLevel="1"/>
    <col min="46" max="46" width="10.375" style="1" customWidth="1"/>
    <col min="47" max="49" width="4" style="1" customWidth="1" outlineLevel="1"/>
    <col min="50" max="50" width="5.625" style="1" customWidth="1" outlineLevel="1"/>
    <col min="51" max="51" width="5.25" style="1" customWidth="1" outlineLevel="1"/>
    <col min="52" max="52" width="4.25" style="1" customWidth="1" outlineLevel="1"/>
    <col min="53" max="53" width="5.625" style="1" customWidth="1" outlineLevel="1"/>
    <col min="54" max="54" width="6" style="1" customWidth="1" outlineLevel="1"/>
    <col min="55" max="56" width="4" style="1" customWidth="1" outlineLevel="1"/>
    <col min="57" max="60" width="5.25" style="1" bestFit="1" customWidth="1" outlineLevel="1"/>
    <col min="61" max="61" width="6.125" style="1" customWidth="1" outlineLevel="1"/>
    <col min="62" max="62" width="4" style="1" customWidth="1" outlineLevel="1"/>
    <col min="63" max="63" width="5.125" style="1" customWidth="1" outlineLevel="1"/>
    <col min="64" max="66" width="5.25" style="1" bestFit="1" customWidth="1" outlineLevel="1"/>
    <col min="67" max="67" width="6.5" style="1" customWidth="1" outlineLevel="1"/>
    <col min="68" max="68" width="5.875" style="1" customWidth="1" outlineLevel="1"/>
    <col min="69" max="69" width="6.875" style="1" customWidth="1" outlineLevel="1"/>
    <col min="70" max="71" width="4" style="1" customWidth="1" outlineLevel="1"/>
    <col min="72" max="72" width="7.375" style="1" customWidth="1" outlineLevel="1"/>
    <col min="73" max="73" width="6.25" style="1" customWidth="1" outlineLevel="1"/>
    <col min="74" max="74" width="6.125" style="1" customWidth="1" outlineLevel="1"/>
    <col min="75" max="75" width="7.125" style="1" customWidth="1" outlineLevel="1"/>
    <col min="76" max="76" width="5.625" style="1" customWidth="1" outlineLevel="1"/>
    <col min="77" max="77" width="9.375" style="1" customWidth="1"/>
    <col min="78" max="78" width="4" style="1" hidden="1" customWidth="1" outlineLevel="1"/>
    <col min="79" max="79" width="5.125" style="1" hidden="1" customWidth="1" outlineLevel="1"/>
    <col min="80" max="105" width="4" style="1" hidden="1" customWidth="1" outlineLevel="1"/>
    <col min="106" max="106" width="4.25" style="1" hidden="1" customWidth="1" outlineLevel="1"/>
    <col min="107" max="107" width="6.875" style="1" customWidth="1" collapsed="1"/>
    <col min="108" max="123" width="4" style="1" hidden="1" customWidth="1" outlineLevel="1"/>
    <col min="124" max="124" width="6" style="1" hidden="1" customWidth="1" outlineLevel="1"/>
    <col min="125" max="125" width="4" style="1" hidden="1" customWidth="1" outlineLevel="1"/>
    <col min="126" max="126" width="6.125" style="1" hidden="1" customWidth="1" outlineLevel="1"/>
    <col min="127" max="128" width="4" style="1" hidden="1" customWidth="1" outlineLevel="1"/>
    <col min="129" max="129" width="7.25" style="1" hidden="1" customWidth="1" outlineLevel="1"/>
    <col min="130" max="130" width="4" style="1" hidden="1" customWidth="1" outlineLevel="1"/>
    <col min="131" max="131" width="6.5" style="1" hidden="1" customWidth="1" outlineLevel="1"/>
    <col min="132" max="136" width="4" style="1" hidden="1" customWidth="1" outlineLevel="1"/>
    <col min="137" max="137" width="3.625" style="1" hidden="1" customWidth="1" outlineLevel="1"/>
    <col min="138" max="138" width="9" style="1" customWidth="1" collapsed="1"/>
    <col min="139" max="139" width="4" style="1" hidden="1" customWidth="1" outlineLevel="1"/>
    <col min="140" max="140" width="6.125" style="1" hidden="1" customWidth="1" outlineLevel="1"/>
    <col min="141" max="146" width="4" style="1" hidden="1" customWidth="1" outlineLevel="1"/>
    <col min="147" max="147" width="5.625" style="1" hidden="1" customWidth="1" outlineLevel="1"/>
    <col min="148" max="154" width="4" style="1" hidden="1" customWidth="1" outlineLevel="1"/>
    <col min="155" max="155" width="6" style="1" hidden="1" customWidth="1" outlineLevel="1"/>
    <col min="156" max="156" width="4" style="1" hidden="1" customWidth="1" outlineLevel="1"/>
    <col min="157" max="157" width="5.875" style="1" hidden="1" customWidth="1" outlineLevel="1"/>
    <col min="158" max="159" width="4" style="1" hidden="1" customWidth="1" outlineLevel="1"/>
    <col min="160" max="160" width="6.5" style="1" hidden="1" customWidth="1" outlineLevel="1"/>
    <col min="161" max="161" width="6.25" style="1" hidden="1" customWidth="1" outlineLevel="1"/>
    <col min="162" max="162" width="6.5" style="1" hidden="1" customWidth="1" outlineLevel="1"/>
    <col min="163" max="163" width="4" style="1" hidden="1" customWidth="1" outlineLevel="1"/>
    <col min="164" max="164" width="5.375" style="1" hidden="1" customWidth="1" outlineLevel="1"/>
    <col min="165" max="167" width="4" style="1" hidden="1" customWidth="1" outlineLevel="1"/>
    <col min="168" max="168" width="5.5" style="1" hidden="1" customWidth="1" outlineLevel="1"/>
    <col min="169" max="169" width="8.875" style="1" customWidth="1" collapsed="1"/>
    <col min="170" max="170" width="5.5" style="1" hidden="1" customWidth="1" outlineLevel="1"/>
    <col min="171" max="171" width="6.125" style="1" hidden="1" customWidth="1" outlineLevel="1"/>
    <col min="172" max="172" width="5.5" style="1" hidden="1" customWidth="1" outlineLevel="1"/>
    <col min="173" max="173" width="6.25" style="1" hidden="1" customWidth="1" outlineLevel="1"/>
    <col min="174" max="174" width="5.875" style="1" hidden="1" customWidth="1" outlineLevel="1"/>
    <col min="175" max="175" width="6.875" style="1" hidden="1" customWidth="1" outlineLevel="1"/>
    <col min="176" max="176" width="5.625" style="1" hidden="1" customWidth="1" outlineLevel="1"/>
    <col min="177" max="177" width="5.5" style="1" hidden="1" customWidth="1" outlineLevel="1"/>
    <col min="178" max="178" width="5.625" style="1" hidden="1" customWidth="1" outlineLevel="1"/>
    <col min="179" max="179" width="6.125" style="1" hidden="1" customWidth="1" outlineLevel="1"/>
    <col min="180" max="180" width="6" style="1" hidden="1" customWidth="1" outlineLevel="1"/>
    <col min="181" max="181" width="8" style="1" hidden="1" customWidth="1" outlineLevel="1"/>
    <col min="182" max="182" width="6.5" style="1" hidden="1" customWidth="1" outlineLevel="1"/>
    <col min="183" max="183" width="5.875" style="1" hidden="1" customWidth="1" outlineLevel="1"/>
    <col min="184" max="184" width="5.625" style="1" hidden="1" customWidth="1" outlineLevel="1"/>
    <col min="185" max="185" width="6.125" style="1" hidden="1" customWidth="1" outlineLevel="1"/>
    <col min="186" max="186" width="6" style="1" hidden="1" customWidth="1" outlineLevel="1"/>
    <col min="187" max="188" width="5.875" style="1" hidden="1" customWidth="1" outlineLevel="1"/>
    <col min="189" max="189" width="5.75" style="1" hidden="1" customWidth="1" outlineLevel="1"/>
    <col min="190" max="190" width="6.125" style="1" hidden="1" customWidth="1" outlineLevel="1"/>
    <col min="191" max="191" width="6.875" style="1" hidden="1" customWidth="1" outlineLevel="1"/>
    <col min="192" max="193" width="6.5" style="1" hidden="1" customWidth="1" outlineLevel="1"/>
    <col min="194" max="194" width="6.25" style="1" hidden="1" customWidth="1" outlineLevel="1"/>
    <col min="195" max="195" width="6.75" style="1" hidden="1" customWidth="1" outlineLevel="1"/>
    <col min="196" max="196" width="8.375" style="1" hidden="1" customWidth="1" outlineLevel="1"/>
    <col min="197" max="197" width="6.5" style="1" hidden="1" customWidth="1" outlineLevel="1"/>
    <col min="198" max="198" width="7.75" style="1" hidden="1" customWidth="1" outlineLevel="1"/>
    <col min="199" max="199" width="7.375" style="1" customWidth="1" collapsed="1"/>
    <col min="200" max="212" width="5.625" style="1" hidden="1" customWidth="1" outlineLevel="1"/>
    <col min="213" max="214" width="5.625" style="13" hidden="1" customWidth="1" outlineLevel="1"/>
    <col min="215" max="219" width="5.625" style="1" hidden="1" customWidth="1" outlineLevel="1"/>
    <col min="220" max="221" width="5.625" style="13" hidden="1" customWidth="1" outlineLevel="1"/>
    <col min="222" max="226" width="5.625" style="1" hidden="1" customWidth="1" outlineLevel="1"/>
    <col min="227" max="228" width="5.625" style="13" hidden="1" customWidth="1" outlineLevel="1"/>
    <col min="229" max="229" width="5.625" style="1" hidden="1" customWidth="1" outlineLevel="1"/>
    <col min="230" max="230" width="8.375" style="1" customWidth="1" collapsed="1"/>
    <col min="231" max="259" width="5.625" style="1" hidden="1" customWidth="1" outlineLevel="1"/>
    <col min="260" max="260" width="9.125" style="1" customWidth="1" collapsed="1"/>
    <col min="261" max="290" width="5.625" style="1" hidden="1" customWidth="1" outlineLevel="1"/>
    <col min="291" max="291" width="7.75" style="1" customWidth="1" collapsed="1"/>
    <col min="292" max="293" width="5.625" style="1" hidden="1" customWidth="1" outlineLevel="1"/>
    <col min="294" max="294" width="6.5" style="1" hidden="1" customWidth="1" outlineLevel="1"/>
    <col min="295" max="321" width="5.625" style="1" hidden="1" customWidth="1" outlineLevel="1"/>
    <col min="322" max="322" width="8.25" style="1" customWidth="1" collapsed="1"/>
    <col min="323" max="324" width="5.625" style="1" customWidth="1" outlineLevel="2"/>
    <col min="325" max="325" width="6.5" style="1" customWidth="1" outlineLevel="2"/>
    <col min="326" max="350" width="5.625" style="1" customWidth="1" outlineLevel="2"/>
    <col min="351" max="351" width="7" customWidth="1"/>
    <col min="352" max="382" width="5.625" customWidth="1"/>
  </cols>
  <sheetData>
    <row r="1" spans="2:382" ht="18.75" hidden="1" customHeight="1" x14ac:dyDescent="0.4">
      <c r="Q1" s="74">
        <v>46113</v>
      </c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6"/>
      <c r="AU1" s="74">
        <v>46143</v>
      </c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  <c r="BG1" s="75"/>
      <c r="BH1" s="75"/>
      <c r="BI1" s="75"/>
      <c r="BJ1" s="75"/>
      <c r="BK1" s="75"/>
      <c r="BL1" s="75"/>
      <c r="BM1" s="75"/>
      <c r="BN1" s="75"/>
      <c r="BO1" s="75"/>
      <c r="BP1" s="75"/>
      <c r="BQ1" s="75"/>
      <c r="BR1" s="75"/>
      <c r="BS1" s="75"/>
      <c r="BT1" s="75"/>
      <c r="BU1" s="75"/>
      <c r="BV1" s="75"/>
      <c r="BW1" s="75"/>
      <c r="BX1" s="75"/>
      <c r="BY1" s="76"/>
      <c r="BZ1" s="74">
        <v>46174</v>
      </c>
      <c r="CA1" s="75"/>
      <c r="CB1" s="75"/>
      <c r="CC1" s="75"/>
      <c r="CD1" s="75"/>
      <c r="CE1" s="75"/>
      <c r="CF1" s="75"/>
      <c r="CG1" s="75"/>
      <c r="CH1" s="75"/>
      <c r="CI1" s="75"/>
      <c r="CJ1" s="75"/>
      <c r="CK1" s="75"/>
      <c r="CL1" s="75"/>
      <c r="CM1" s="75"/>
      <c r="CN1" s="75"/>
      <c r="CO1" s="75"/>
      <c r="CP1" s="75"/>
      <c r="CQ1" s="75"/>
      <c r="CR1" s="75"/>
      <c r="CS1" s="75"/>
      <c r="CT1" s="75"/>
      <c r="CU1" s="75"/>
      <c r="CV1" s="75"/>
      <c r="CW1" s="75"/>
      <c r="CX1" s="75"/>
      <c r="CY1" s="75"/>
      <c r="CZ1" s="75"/>
      <c r="DA1" s="75"/>
      <c r="DB1" s="75"/>
      <c r="DC1" s="76"/>
      <c r="DD1" s="74">
        <v>46204</v>
      </c>
      <c r="DE1" s="75"/>
      <c r="DF1" s="75"/>
      <c r="DG1" s="75"/>
      <c r="DH1" s="75"/>
      <c r="DI1" s="75"/>
      <c r="DJ1" s="75"/>
      <c r="DK1" s="75"/>
      <c r="DL1" s="75"/>
      <c r="DM1" s="75"/>
      <c r="DN1" s="75"/>
      <c r="DO1" s="75"/>
      <c r="DP1" s="75"/>
      <c r="DQ1" s="75"/>
      <c r="DR1" s="75"/>
      <c r="DS1" s="75"/>
      <c r="DT1" s="75"/>
      <c r="DU1" s="75"/>
      <c r="DV1" s="75"/>
      <c r="DW1" s="75"/>
      <c r="DX1" s="75"/>
      <c r="DY1" s="75"/>
      <c r="DZ1" s="75"/>
      <c r="EA1" s="75"/>
      <c r="EB1" s="75"/>
      <c r="EC1" s="75"/>
      <c r="ED1" s="75"/>
      <c r="EE1" s="75"/>
      <c r="EF1" s="75"/>
      <c r="EG1" s="75"/>
      <c r="EH1" s="76"/>
      <c r="EI1" s="74">
        <v>46235</v>
      </c>
      <c r="EJ1" s="75"/>
      <c r="EK1" s="75"/>
      <c r="EL1" s="75"/>
      <c r="EM1" s="75"/>
      <c r="EN1" s="75"/>
      <c r="EO1" s="75"/>
      <c r="EP1" s="75"/>
      <c r="EQ1" s="75"/>
      <c r="ER1" s="75"/>
      <c r="ES1" s="75"/>
      <c r="ET1" s="75"/>
      <c r="EU1" s="75"/>
      <c r="EV1" s="75"/>
      <c r="EW1" s="75"/>
      <c r="EX1" s="75"/>
      <c r="EY1" s="75"/>
      <c r="EZ1" s="75"/>
      <c r="FA1" s="75"/>
      <c r="FB1" s="75"/>
      <c r="FC1" s="75"/>
      <c r="FD1" s="75"/>
      <c r="FE1" s="75"/>
      <c r="FF1" s="75"/>
      <c r="FG1" s="75"/>
      <c r="FH1" s="75"/>
      <c r="FI1" s="75"/>
      <c r="FJ1" s="75"/>
      <c r="FK1" s="75"/>
      <c r="FL1" s="75"/>
      <c r="FM1" s="76"/>
      <c r="FN1" s="74">
        <v>46266</v>
      </c>
      <c r="FO1" s="75"/>
      <c r="FP1" s="75"/>
      <c r="FQ1" s="75"/>
      <c r="FR1" s="75"/>
      <c r="FS1" s="75"/>
      <c r="FT1" s="75"/>
      <c r="FU1" s="75"/>
      <c r="FV1" s="75"/>
      <c r="FW1" s="75"/>
      <c r="FX1" s="75"/>
      <c r="FY1" s="75"/>
      <c r="FZ1" s="75"/>
      <c r="GA1" s="75"/>
      <c r="GB1" s="75"/>
      <c r="GC1" s="75"/>
      <c r="GD1" s="75"/>
      <c r="GE1" s="75"/>
      <c r="GF1" s="75"/>
      <c r="GG1" s="75"/>
      <c r="GH1" s="75"/>
      <c r="GI1" s="75"/>
      <c r="GJ1" s="75"/>
      <c r="GK1" s="75"/>
      <c r="GL1" s="75"/>
      <c r="GM1" s="75"/>
      <c r="GN1" s="75"/>
      <c r="GO1" s="75"/>
      <c r="GP1" s="75"/>
      <c r="GQ1" s="76"/>
      <c r="GR1" s="74">
        <v>46296</v>
      </c>
      <c r="GS1" s="75"/>
      <c r="GT1" s="75"/>
      <c r="GU1" s="75"/>
      <c r="GV1" s="75"/>
      <c r="GW1" s="75"/>
      <c r="GX1" s="75"/>
      <c r="GY1" s="75"/>
      <c r="GZ1" s="75"/>
      <c r="HA1" s="75"/>
      <c r="HB1" s="75"/>
      <c r="HC1" s="75"/>
      <c r="HD1" s="75"/>
      <c r="HE1" s="75"/>
      <c r="HF1" s="75"/>
      <c r="HG1" s="75"/>
      <c r="HH1" s="75"/>
      <c r="HI1" s="75"/>
      <c r="HJ1" s="75"/>
      <c r="HK1" s="75"/>
      <c r="HL1" s="75"/>
      <c r="HM1" s="75"/>
      <c r="HN1" s="75"/>
      <c r="HO1" s="75"/>
      <c r="HP1" s="75"/>
      <c r="HQ1" s="75"/>
      <c r="HR1" s="75"/>
      <c r="HS1" s="75"/>
      <c r="HT1" s="75"/>
      <c r="HU1" s="75"/>
      <c r="HV1" s="76"/>
      <c r="HW1" s="74">
        <v>46327</v>
      </c>
      <c r="HX1" s="75"/>
      <c r="HY1" s="75"/>
      <c r="HZ1" s="75"/>
      <c r="IA1" s="75"/>
      <c r="IB1" s="75"/>
      <c r="IC1" s="75"/>
      <c r="ID1" s="75"/>
      <c r="IE1" s="75"/>
      <c r="IF1" s="75"/>
      <c r="IG1" s="75"/>
      <c r="IH1" s="75"/>
      <c r="II1" s="75"/>
      <c r="IJ1" s="75"/>
      <c r="IK1" s="75"/>
      <c r="IL1" s="75"/>
      <c r="IM1" s="75"/>
      <c r="IN1" s="75"/>
      <c r="IO1" s="75"/>
      <c r="IP1" s="75"/>
      <c r="IQ1" s="75"/>
      <c r="IR1" s="75"/>
      <c r="IS1" s="75"/>
      <c r="IT1" s="75"/>
      <c r="IU1" s="75"/>
      <c r="IV1" s="75"/>
      <c r="IW1" s="75"/>
      <c r="IX1" s="75"/>
      <c r="IY1" s="75"/>
      <c r="IZ1" s="76"/>
      <c r="JA1" s="74">
        <v>46357</v>
      </c>
      <c r="JB1" s="75"/>
      <c r="JC1" s="75"/>
      <c r="JD1" s="75"/>
      <c r="JE1" s="75"/>
      <c r="JF1" s="75"/>
      <c r="JG1" s="75"/>
      <c r="JH1" s="75"/>
      <c r="JI1" s="75"/>
      <c r="JJ1" s="75"/>
      <c r="JK1" s="75"/>
      <c r="JL1" s="75"/>
      <c r="JM1" s="75"/>
      <c r="JN1" s="75"/>
      <c r="JO1" s="75"/>
      <c r="JP1" s="75"/>
      <c r="JQ1" s="75"/>
      <c r="JR1" s="75"/>
      <c r="JS1" s="75"/>
      <c r="JT1" s="75"/>
      <c r="JU1" s="75"/>
      <c r="JV1" s="75"/>
      <c r="JW1" s="75"/>
      <c r="JX1" s="75"/>
      <c r="JY1" s="75"/>
      <c r="JZ1" s="75"/>
      <c r="KA1" s="75"/>
      <c r="KB1" s="75"/>
      <c r="KC1" s="75"/>
      <c r="KD1" s="75"/>
      <c r="KE1" s="75"/>
      <c r="KF1" s="74">
        <v>46388</v>
      </c>
      <c r="KG1" s="75"/>
      <c r="KH1" s="75"/>
      <c r="KI1" s="75"/>
      <c r="KJ1" s="75"/>
      <c r="KK1" s="75"/>
      <c r="KL1" s="75"/>
      <c r="KM1" s="75"/>
      <c r="KN1" s="75"/>
      <c r="KO1" s="75"/>
      <c r="KP1" s="75"/>
      <c r="KQ1" s="75"/>
      <c r="KR1" s="75"/>
      <c r="KS1" s="75"/>
      <c r="KT1" s="75"/>
      <c r="KU1" s="75"/>
      <c r="KV1" s="75"/>
      <c r="KW1" s="75"/>
      <c r="KX1" s="75"/>
      <c r="KY1" s="75"/>
      <c r="KZ1" s="75"/>
      <c r="LA1" s="75"/>
      <c r="LB1" s="75"/>
      <c r="LC1" s="75"/>
      <c r="LD1" s="75"/>
      <c r="LE1" s="75"/>
      <c r="LF1" s="75"/>
      <c r="LG1" s="75"/>
      <c r="LH1" s="75"/>
      <c r="LI1" s="75"/>
      <c r="LJ1" s="75"/>
      <c r="LK1" s="74">
        <v>46419</v>
      </c>
      <c r="LL1" s="75"/>
      <c r="LM1" s="75"/>
      <c r="LN1" s="75"/>
      <c r="LO1" s="75"/>
      <c r="LP1" s="75"/>
      <c r="LQ1" s="75"/>
      <c r="LR1" s="75"/>
      <c r="LS1" s="75"/>
      <c r="LT1" s="75"/>
      <c r="LU1" s="75"/>
      <c r="LV1" s="75"/>
      <c r="LW1" s="75"/>
      <c r="LX1" s="75"/>
      <c r="LY1" s="75"/>
      <c r="LZ1" s="75"/>
      <c r="MA1" s="75"/>
      <c r="MB1" s="75"/>
      <c r="MC1" s="75"/>
      <c r="MD1" s="75"/>
      <c r="ME1" s="75"/>
      <c r="MF1" s="75"/>
      <c r="MG1" s="75"/>
      <c r="MH1" s="75"/>
      <c r="MI1" s="75"/>
      <c r="MJ1" s="75"/>
      <c r="MK1" s="75"/>
      <c r="ML1" s="75"/>
      <c r="MM1" s="76"/>
    </row>
    <row r="2" spans="2:382" x14ac:dyDescent="0.4">
      <c r="E2" s="1" t="s">
        <v>0</v>
      </c>
      <c r="F2" s="2" t="s">
        <v>1</v>
      </c>
      <c r="G2" s="63"/>
      <c r="H2" s="1" t="s">
        <v>66</v>
      </c>
      <c r="I2" s="3"/>
      <c r="J2" s="1" t="s">
        <v>2</v>
      </c>
      <c r="K2" s="4"/>
      <c r="L2" s="1" t="s">
        <v>3</v>
      </c>
      <c r="M2" s="5"/>
      <c r="N2" s="1" t="s">
        <v>4</v>
      </c>
      <c r="Q2" s="80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2"/>
      <c r="AU2" s="80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2"/>
      <c r="BZ2" s="80"/>
      <c r="CA2" s="81"/>
      <c r="CB2" s="81"/>
      <c r="CC2" s="81"/>
      <c r="CD2" s="81"/>
      <c r="CE2" s="81"/>
      <c r="CF2" s="81"/>
      <c r="CG2" s="81"/>
      <c r="CH2" s="81"/>
      <c r="CI2" s="81"/>
      <c r="CJ2" s="81"/>
      <c r="CK2" s="81"/>
      <c r="CL2" s="81"/>
      <c r="CM2" s="81"/>
      <c r="CN2" s="81"/>
      <c r="CO2" s="81"/>
      <c r="CP2" s="81"/>
      <c r="CQ2" s="81"/>
      <c r="CR2" s="81"/>
      <c r="CS2" s="81"/>
      <c r="CT2" s="81"/>
      <c r="CU2" s="81"/>
      <c r="CV2" s="81"/>
      <c r="CW2" s="81"/>
      <c r="CX2" s="81"/>
      <c r="CY2" s="81"/>
      <c r="CZ2" s="81"/>
      <c r="DA2" s="81"/>
      <c r="DB2" s="81"/>
      <c r="DC2" s="82"/>
      <c r="DD2" s="80"/>
      <c r="DE2" s="81"/>
      <c r="DF2" s="81"/>
      <c r="DG2" s="81"/>
      <c r="DH2" s="81"/>
      <c r="DI2" s="81"/>
      <c r="DJ2" s="81"/>
      <c r="DK2" s="81"/>
      <c r="DL2" s="81"/>
      <c r="DM2" s="81"/>
      <c r="DN2" s="81"/>
      <c r="DO2" s="81"/>
      <c r="DP2" s="81"/>
      <c r="DQ2" s="81"/>
      <c r="DR2" s="81"/>
      <c r="DS2" s="81"/>
      <c r="DT2" s="81"/>
      <c r="DU2" s="81"/>
      <c r="DV2" s="81"/>
      <c r="DW2" s="81"/>
      <c r="DX2" s="81"/>
      <c r="DY2" s="81"/>
      <c r="DZ2" s="81"/>
      <c r="EA2" s="81"/>
      <c r="EB2" s="81"/>
      <c r="EC2" s="81"/>
      <c r="ED2" s="81"/>
      <c r="EE2" s="81"/>
      <c r="EF2" s="81"/>
      <c r="EG2" s="81"/>
      <c r="EH2" s="82"/>
      <c r="EI2" s="80"/>
      <c r="EJ2" s="81"/>
      <c r="EK2" s="81"/>
      <c r="EL2" s="81"/>
      <c r="EM2" s="81"/>
      <c r="EN2" s="81"/>
      <c r="EO2" s="81"/>
      <c r="EP2" s="81"/>
      <c r="EQ2" s="81"/>
      <c r="ER2" s="81"/>
      <c r="ES2" s="81"/>
      <c r="ET2" s="81"/>
      <c r="EU2" s="81"/>
      <c r="EV2" s="81"/>
      <c r="EW2" s="81"/>
      <c r="EX2" s="81"/>
      <c r="EY2" s="81"/>
      <c r="EZ2" s="81"/>
      <c r="FA2" s="81"/>
      <c r="FB2" s="81"/>
      <c r="FC2" s="81"/>
      <c r="FD2" s="81"/>
      <c r="FE2" s="81"/>
      <c r="FF2" s="81"/>
      <c r="FG2" s="81"/>
      <c r="FH2" s="81"/>
      <c r="FI2" s="81"/>
      <c r="FJ2" s="81"/>
      <c r="FK2" s="81"/>
      <c r="FL2" s="81"/>
      <c r="FM2" s="82"/>
      <c r="FN2" s="80"/>
      <c r="FO2" s="81"/>
      <c r="FP2" s="81"/>
      <c r="FQ2" s="81"/>
      <c r="FR2" s="81"/>
      <c r="FS2" s="81"/>
      <c r="FT2" s="81"/>
      <c r="FU2" s="81"/>
      <c r="FV2" s="81"/>
      <c r="FW2" s="81"/>
      <c r="FX2" s="81"/>
      <c r="FY2" s="81"/>
      <c r="FZ2" s="81"/>
      <c r="GA2" s="81"/>
      <c r="GB2" s="81"/>
      <c r="GC2" s="81"/>
      <c r="GD2" s="81"/>
      <c r="GE2" s="81"/>
      <c r="GF2" s="81"/>
      <c r="GG2" s="81"/>
      <c r="GH2" s="81"/>
      <c r="GI2" s="81"/>
      <c r="GJ2" s="81"/>
      <c r="GK2" s="81"/>
      <c r="GL2" s="81"/>
      <c r="GM2" s="81"/>
      <c r="GN2" s="81"/>
      <c r="GO2" s="81"/>
      <c r="GP2" s="81"/>
      <c r="GQ2" s="82"/>
      <c r="GR2" s="80"/>
      <c r="GS2" s="81"/>
      <c r="GT2" s="81"/>
      <c r="GU2" s="81"/>
      <c r="GV2" s="81"/>
      <c r="GW2" s="81"/>
      <c r="GX2" s="81"/>
      <c r="GY2" s="81"/>
      <c r="GZ2" s="81"/>
      <c r="HA2" s="81"/>
      <c r="HB2" s="81"/>
      <c r="HC2" s="81"/>
      <c r="HD2" s="81"/>
      <c r="HE2" s="81"/>
      <c r="HF2" s="81"/>
      <c r="HG2" s="81"/>
      <c r="HH2" s="81"/>
      <c r="HI2" s="81"/>
      <c r="HJ2" s="81"/>
      <c r="HK2" s="81"/>
      <c r="HL2" s="81"/>
      <c r="HM2" s="81"/>
      <c r="HN2" s="81"/>
      <c r="HO2" s="81"/>
      <c r="HP2" s="81"/>
      <c r="HQ2" s="81"/>
      <c r="HR2" s="81"/>
      <c r="HS2" s="81"/>
      <c r="HT2" s="81"/>
      <c r="HU2" s="81"/>
      <c r="HV2" s="82"/>
      <c r="HW2" s="80"/>
      <c r="HX2" s="81"/>
      <c r="HY2" s="81"/>
      <c r="HZ2" s="81"/>
      <c r="IA2" s="81"/>
      <c r="IB2" s="81"/>
      <c r="IC2" s="81"/>
      <c r="ID2" s="81"/>
      <c r="IE2" s="81"/>
      <c r="IF2" s="81"/>
      <c r="IG2" s="81"/>
      <c r="IH2" s="81"/>
      <c r="II2" s="81"/>
      <c r="IJ2" s="81"/>
      <c r="IK2" s="81"/>
      <c r="IL2" s="81"/>
      <c r="IM2" s="81"/>
      <c r="IN2" s="81"/>
      <c r="IO2" s="81"/>
      <c r="IP2" s="81"/>
      <c r="IQ2" s="81"/>
      <c r="IR2" s="81"/>
      <c r="IS2" s="81"/>
      <c r="IT2" s="81"/>
      <c r="IU2" s="81"/>
      <c r="IV2" s="81"/>
      <c r="IW2" s="81"/>
      <c r="IX2" s="81"/>
      <c r="IY2" s="81"/>
      <c r="IZ2" s="82"/>
      <c r="JA2" s="80"/>
      <c r="JB2" s="81"/>
      <c r="JC2" s="81"/>
      <c r="JD2" s="81"/>
      <c r="JE2" s="81"/>
      <c r="JF2" s="81"/>
      <c r="JG2" s="81"/>
      <c r="JH2" s="81"/>
      <c r="JI2" s="81"/>
      <c r="JJ2" s="81"/>
      <c r="JK2" s="81"/>
      <c r="JL2" s="81"/>
      <c r="JM2" s="81"/>
      <c r="JN2" s="81"/>
      <c r="JO2" s="81"/>
      <c r="JP2" s="81"/>
      <c r="JQ2" s="81"/>
      <c r="JR2" s="81"/>
      <c r="JS2" s="81"/>
      <c r="JT2" s="81"/>
      <c r="JU2" s="81"/>
      <c r="JV2" s="81"/>
      <c r="JW2" s="81"/>
      <c r="JX2" s="81"/>
      <c r="JY2" s="81"/>
      <c r="JZ2" s="81"/>
      <c r="KA2" s="81"/>
      <c r="KB2" s="81"/>
      <c r="KC2" s="81"/>
      <c r="KD2" s="81"/>
      <c r="KE2" s="81"/>
      <c r="KF2" s="80"/>
      <c r="KG2" s="81"/>
      <c r="KH2" s="81"/>
      <c r="KI2" s="81"/>
      <c r="KJ2" s="81"/>
      <c r="KK2" s="81"/>
      <c r="KL2" s="81"/>
      <c r="KM2" s="81"/>
      <c r="KN2" s="81"/>
      <c r="KO2" s="81"/>
      <c r="KP2" s="81"/>
      <c r="KQ2" s="81"/>
      <c r="KR2" s="81"/>
      <c r="KS2" s="81"/>
      <c r="KT2" s="81"/>
      <c r="KU2" s="81"/>
      <c r="KV2" s="81"/>
      <c r="KW2" s="81"/>
      <c r="KX2" s="81"/>
      <c r="KY2" s="81"/>
      <c r="KZ2" s="81"/>
      <c r="LA2" s="81"/>
      <c r="LB2" s="81"/>
      <c r="LC2" s="81"/>
      <c r="LD2" s="81"/>
      <c r="LE2" s="81"/>
      <c r="LF2" s="81"/>
      <c r="LG2" s="81"/>
      <c r="LH2" s="81"/>
      <c r="LI2" s="81"/>
      <c r="LJ2" s="81"/>
      <c r="LK2" s="80"/>
      <c r="LL2" s="81"/>
      <c r="LM2" s="81"/>
      <c r="LN2" s="81"/>
      <c r="LO2" s="81"/>
      <c r="LP2" s="81"/>
      <c r="LQ2" s="81"/>
      <c r="LR2" s="81"/>
      <c r="LS2" s="81"/>
      <c r="LT2" s="81"/>
      <c r="LU2" s="81"/>
      <c r="LV2" s="81"/>
      <c r="LW2" s="81"/>
      <c r="LX2" s="81"/>
      <c r="LY2" s="81"/>
      <c r="LZ2" s="81"/>
      <c r="MA2" s="81"/>
      <c r="MB2" s="81"/>
      <c r="MC2" s="81"/>
      <c r="MD2" s="81"/>
      <c r="ME2" s="81"/>
      <c r="MF2" s="81"/>
      <c r="MG2" s="81"/>
      <c r="MH2" s="81"/>
      <c r="MI2" s="81"/>
      <c r="MJ2" s="81"/>
      <c r="MK2" s="81"/>
      <c r="ML2" s="81"/>
      <c r="MM2" s="82"/>
      <c r="MN2" s="74">
        <v>46447</v>
      </c>
      <c r="MO2" s="75"/>
      <c r="MP2" s="75"/>
      <c r="MQ2" s="75"/>
      <c r="MR2" s="75"/>
      <c r="MS2" s="75"/>
      <c r="MT2" s="75"/>
      <c r="MU2" s="75"/>
      <c r="MV2" s="75"/>
      <c r="MW2" s="75"/>
      <c r="MX2" s="75"/>
      <c r="MY2" s="75"/>
      <c r="MZ2" s="75"/>
      <c r="NA2" s="75"/>
      <c r="NB2" s="75"/>
      <c r="NC2" s="75"/>
      <c r="ND2" s="75"/>
      <c r="NE2" s="75"/>
      <c r="NF2" s="75"/>
      <c r="NG2" s="75"/>
      <c r="NH2" s="75"/>
      <c r="NI2" s="75"/>
      <c r="NJ2" s="75"/>
      <c r="NK2" s="75"/>
      <c r="NL2" s="75"/>
      <c r="NM2" s="75"/>
      <c r="NN2" s="75"/>
      <c r="NO2" s="75"/>
      <c r="NP2" s="75"/>
      <c r="NQ2" s="75"/>
      <c r="NR2" s="76"/>
    </row>
    <row r="3" spans="2:382" ht="19.5" thickBot="1" x14ac:dyDescent="0.45">
      <c r="E3" s="1" t="s">
        <v>5</v>
      </c>
      <c r="F3" s="6" t="s">
        <v>6</v>
      </c>
      <c r="G3" s="6"/>
      <c r="H3" s="6"/>
      <c r="I3" s="7"/>
      <c r="J3" s="1" t="s">
        <v>7</v>
      </c>
      <c r="K3" s="8"/>
      <c r="L3" s="1" t="s">
        <v>8</v>
      </c>
      <c r="M3" s="9"/>
      <c r="N3" s="1" t="s">
        <v>9</v>
      </c>
      <c r="Q3" s="77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9"/>
      <c r="AU3" s="77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78"/>
      <c r="BH3" s="78"/>
      <c r="BI3" s="78"/>
      <c r="BJ3" s="78"/>
      <c r="BK3" s="78"/>
      <c r="BL3" s="78"/>
      <c r="BM3" s="78"/>
      <c r="BN3" s="78"/>
      <c r="BO3" s="78"/>
      <c r="BP3" s="78"/>
      <c r="BQ3" s="78"/>
      <c r="BR3" s="78"/>
      <c r="BS3" s="78"/>
      <c r="BT3" s="78"/>
      <c r="BU3" s="78"/>
      <c r="BV3" s="78"/>
      <c r="BW3" s="78"/>
      <c r="BX3" s="78"/>
      <c r="BY3" s="79"/>
      <c r="BZ3" s="77"/>
      <c r="CA3" s="78"/>
      <c r="CB3" s="78"/>
      <c r="CC3" s="78"/>
      <c r="CD3" s="78"/>
      <c r="CE3" s="78"/>
      <c r="CF3" s="78"/>
      <c r="CG3" s="78"/>
      <c r="CH3" s="78"/>
      <c r="CI3" s="78"/>
      <c r="CJ3" s="78"/>
      <c r="CK3" s="78"/>
      <c r="CL3" s="78"/>
      <c r="CM3" s="78"/>
      <c r="CN3" s="78"/>
      <c r="CO3" s="78"/>
      <c r="CP3" s="78"/>
      <c r="CQ3" s="78"/>
      <c r="CR3" s="78"/>
      <c r="CS3" s="78"/>
      <c r="CT3" s="78"/>
      <c r="CU3" s="78"/>
      <c r="CV3" s="78"/>
      <c r="CW3" s="78"/>
      <c r="CX3" s="78"/>
      <c r="CY3" s="78"/>
      <c r="CZ3" s="78"/>
      <c r="DA3" s="78"/>
      <c r="DB3" s="78"/>
      <c r="DC3" s="79"/>
      <c r="DD3" s="77"/>
      <c r="DE3" s="78"/>
      <c r="DF3" s="78"/>
      <c r="DG3" s="78"/>
      <c r="DH3" s="78"/>
      <c r="DI3" s="78"/>
      <c r="DJ3" s="78"/>
      <c r="DK3" s="78"/>
      <c r="DL3" s="78"/>
      <c r="DM3" s="78"/>
      <c r="DN3" s="78"/>
      <c r="DO3" s="78"/>
      <c r="DP3" s="78"/>
      <c r="DQ3" s="78"/>
      <c r="DR3" s="78"/>
      <c r="DS3" s="78"/>
      <c r="DT3" s="78"/>
      <c r="DU3" s="78"/>
      <c r="DV3" s="78"/>
      <c r="DW3" s="78"/>
      <c r="DX3" s="78"/>
      <c r="DY3" s="78"/>
      <c r="DZ3" s="78"/>
      <c r="EA3" s="78"/>
      <c r="EB3" s="78"/>
      <c r="EC3" s="78"/>
      <c r="ED3" s="78"/>
      <c r="EE3" s="78"/>
      <c r="EF3" s="78"/>
      <c r="EG3" s="78"/>
      <c r="EH3" s="79"/>
      <c r="EI3" s="77"/>
      <c r="EJ3" s="78"/>
      <c r="EK3" s="78"/>
      <c r="EL3" s="78"/>
      <c r="EM3" s="78"/>
      <c r="EN3" s="78"/>
      <c r="EO3" s="78"/>
      <c r="EP3" s="78"/>
      <c r="EQ3" s="78"/>
      <c r="ER3" s="78"/>
      <c r="ES3" s="78"/>
      <c r="ET3" s="78"/>
      <c r="EU3" s="78"/>
      <c r="EV3" s="78"/>
      <c r="EW3" s="78"/>
      <c r="EX3" s="78"/>
      <c r="EY3" s="78"/>
      <c r="EZ3" s="78"/>
      <c r="FA3" s="78"/>
      <c r="FB3" s="78"/>
      <c r="FC3" s="78"/>
      <c r="FD3" s="78"/>
      <c r="FE3" s="78"/>
      <c r="FF3" s="78"/>
      <c r="FG3" s="78"/>
      <c r="FH3" s="78"/>
      <c r="FI3" s="78"/>
      <c r="FJ3" s="78"/>
      <c r="FK3" s="78"/>
      <c r="FL3" s="78"/>
      <c r="FM3" s="79"/>
      <c r="FN3" s="77"/>
      <c r="FO3" s="78"/>
      <c r="FP3" s="78"/>
      <c r="FQ3" s="78"/>
      <c r="FR3" s="78"/>
      <c r="FS3" s="78"/>
      <c r="FT3" s="78"/>
      <c r="FU3" s="78"/>
      <c r="FV3" s="78"/>
      <c r="FW3" s="78"/>
      <c r="FX3" s="78"/>
      <c r="FY3" s="78"/>
      <c r="FZ3" s="78"/>
      <c r="GA3" s="78"/>
      <c r="GB3" s="78"/>
      <c r="GC3" s="78"/>
      <c r="GD3" s="78"/>
      <c r="GE3" s="78"/>
      <c r="GF3" s="78"/>
      <c r="GG3" s="78"/>
      <c r="GH3" s="78"/>
      <c r="GI3" s="78"/>
      <c r="GJ3" s="78"/>
      <c r="GK3" s="78"/>
      <c r="GL3" s="78"/>
      <c r="GM3" s="78"/>
      <c r="GN3" s="78"/>
      <c r="GO3" s="78"/>
      <c r="GP3" s="78"/>
      <c r="GQ3" s="79"/>
      <c r="GR3" s="77"/>
      <c r="GS3" s="78"/>
      <c r="GT3" s="78"/>
      <c r="GU3" s="78"/>
      <c r="GV3" s="78"/>
      <c r="GW3" s="78"/>
      <c r="GX3" s="78"/>
      <c r="GY3" s="78"/>
      <c r="GZ3" s="78"/>
      <c r="HA3" s="78"/>
      <c r="HB3" s="78"/>
      <c r="HC3" s="78"/>
      <c r="HD3" s="78"/>
      <c r="HE3" s="78"/>
      <c r="HF3" s="78"/>
      <c r="HG3" s="78"/>
      <c r="HH3" s="78"/>
      <c r="HI3" s="78"/>
      <c r="HJ3" s="78"/>
      <c r="HK3" s="78"/>
      <c r="HL3" s="78"/>
      <c r="HM3" s="78"/>
      <c r="HN3" s="78"/>
      <c r="HO3" s="78"/>
      <c r="HP3" s="78"/>
      <c r="HQ3" s="78"/>
      <c r="HR3" s="78"/>
      <c r="HS3" s="78"/>
      <c r="HT3" s="78"/>
      <c r="HU3" s="78"/>
      <c r="HV3" s="79"/>
      <c r="HW3" s="77"/>
      <c r="HX3" s="78"/>
      <c r="HY3" s="78"/>
      <c r="HZ3" s="78"/>
      <c r="IA3" s="78"/>
      <c r="IB3" s="78"/>
      <c r="IC3" s="78"/>
      <c r="ID3" s="78"/>
      <c r="IE3" s="78"/>
      <c r="IF3" s="78"/>
      <c r="IG3" s="78"/>
      <c r="IH3" s="78"/>
      <c r="II3" s="78"/>
      <c r="IJ3" s="78"/>
      <c r="IK3" s="78"/>
      <c r="IL3" s="78"/>
      <c r="IM3" s="78"/>
      <c r="IN3" s="78"/>
      <c r="IO3" s="78"/>
      <c r="IP3" s="78"/>
      <c r="IQ3" s="78"/>
      <c r="IR3" s="78"/>
      <c r="IS3" s="78"/>
      <c r="IT3" s="78"/>
      <c r="IU3" s="78"/>
      <c r="IV3" s="78"/>
      <c r="IW3" s="78"/>
      <c r="IX3" s="78"/>
      <c r="IY3" s="78"/>
      <c r="IZ3" s="79"/>
      <c r="JA3" s="77"/>
      <c r="JB3" s="78"/>
      <c r="JC3" s="78"/>
      <c r="JD3" s="78"/>
      <c r="JE3" s="78"/>
      <c r="JF3" s="78"/>
      <c r="JG3" s="78"/>
      <c r="JH3" s="78"/>
      <c r="JI3" s="78"/>
      <c r="JJ3" s="78"/>
      <c r="JK3" s="78"/>
      <c r="JL3" s="78"/>
      <c r="JM3" s="78"/>
      <c r="JN3" s="78"/>
      <c r="JO3" s="78"/>
      <c r="JP3" s="78"/>
      <c r="JQ3" s="78"/>
      <c r="JR3" s="78"/>
      <c r="JS3" s="78"/>
      <c r="JT3" s="78"/>
      <c r="JU3" s="78"/>
      <c r="JV3" s="78"/>
      <c r="JW3" s="78"/>
      <c r="JX3" s="78"/>
      <c r="JY3" s="78"/>
      <c r="JZ3" s="78"/>
      <c r="KA3" s="78"/>
      <c r="KB3" s="78"/>
      <c r="KC3" s="78"/>
      <c r="KD3" s="78"/>
      <c r="KE3" s="78"/>
      <c r="KF3" s="77"/>
      <c r="KG3" s="78"/>
      <c r="KH3" s="78"/>
      <c r="KI3" s="78"/>
      <c r="KJ3" s="78"/>
      <c r="KK3" s="78"/>
      <c r="KL3" s="78"/>
      <c r="KM3" s="78"/>
      <c r="KN3" s="78"/>
      <c r="KO3" s="78"/>
      <c r="KP3" s="78"/>
      <c r="KQ3" s="78"/>
      <c r="KR3" s="78"/>
      <c r="KS3" s="78"/>
      <c r="KT3" s="78"/>
      <c r="KU3" s="78"/>
      <c r="KV3" s="78"/>
      <c r="KW3" s="78"/>
      <c r="KX3" s="78"/>
      <c r="KY3" s="78"/>
      <c r="KZ3" s="78"/>
      <c r="LA3" s="78"/>
      <c r="LB3" s="78"/>
      <c r="LC3" s="78"/>
      <c r="LD3" s="78"/>
      <c r="LE3" s="78"/>
      <c r="LF3" s="78"/>
      <c r="LG3" s="78"/>
      <c r="LH3" s="78"/>
      <c r="LI3" s="78"/>
      <c r="LJ3" s="78"/>
      <c r="LK3" s="77"/>
      <c r="LL3" s="78"/>
      <c r="LM3" s="78"/>
      <c r="LN3" s="78"/>
      <c r="LO3" s="78"/>
      <c r="LP3" s="78"/>
      <c r="LQ3" s="78"/>
      <c r="LR3" s="78"/>
      <c r="LS3" s="78"/>
      <c r="LT3" s="78"/>
      <c r="LU3" s="78"/>
      <c r="LV3" s="78"/>
      <c r="LW3" s="78"/>
      <c r="LX3" s="78"/>
      <c r="LY3" s="78"/>
      <c r="LZ3" s="78"/>
      <c r="MA3" s="78"/>
      <c r="MB3" s="78"/>
      <c r="MC3" s="78"/>
      <c r="MD3" s="78"/>
      <c r="ME3" s="78"/>
      <c r="MF3" s="78"/>
      <c r="MG3" s="78"/>
      <c r="MH3" s="78"/>
      <c r="MI3" s="78"/>
      <c r="MJ3" s="78"/>
      <c r="MK3" s="78"/>
      <c r="ML3" s="78"/>
      <c r="MM3" s="79"/>
      <c r="MN3" s="77"/>
      <c r="MO3" s="78"/>
      <c r="MP3" s="78"/>
      <c r="MQ3" s="78"/>
      <c r="MR3" s="78"/>
      <c r="MS3" s="78"/>
      <c r="MT3" s="78"/>
      <c r="MU3" s="78"/>
      <c r="MV3" s="78"/>
      <c r="MW3" s="78"/>
      <c r="MX3" s="78"/>
      <c r="MY3" s="78"/>
      <c r="MZ3" s="78"/>
      <c r="NA3" s="78"/>
      <c r="NB3" s="78"/>
      <c r="NC3" s="78"/>
      <c r="ND3" s="78"/>
      <c r="NE3" s="78"/>
      <c r="NF3" s="78"/>
      <c r="NG3" s="78"/>
      <c r="NH3" s="78"/>
      <c r="NI3" s="78"/>
      <c r="NJ3" s="78"/>
      <c r="NK3" s="78"/>
      <c r="NL3" s="78"/>
      <c r="NM3" s="78"/>
      <c r="NN3" s="78"/>
      <c r="NO3" s="78"/>
      <c r="NP3" s="78"/>
      <c r="NQ3" s="78"/>
      <c r="NR3" s="79"/>
    </row>
    <row r="4" spans="2:382" x14ac:dyDescent="0.4">
      <c r="E4" s="1" t="s">
        <v>10</v>
      </c>
      <c r="F4" s="10" t="s">
        <v>11</v>
      </c>
      <c r="I4" s="11"/>
      <c r="J4" s="1" t="s">
        <v>12</v>
      </c>
      <c r="K4" s="12"/>
      <c r="L4" s="1" t="s">
        <v>5</v>
      </c>
    </row>
    <row r="5" spans="2:382" ht="45" x14ac:dyDescent="0.4">
      <c r="B5" s="14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5" t="s">
        <v>20</v>
      </c>
      <c r="J5" s="14" t="s">
        <v>21</v>
      </c>
      <c r="K5" s="14" t="s">
        <v>22</v>
      </c>
      <c r="L5" s="16" t="s">
        <v>23</v>
      </c>
      <c r="M5" s="16" t="s">
        <v>24</v>
      </c>
      <c r="N5" s="15" t="s">
        <v>25</v>
      </c>
      <c r="O5" s="17" t="s">
        <v>26</v>
      </c>
      <c r="P5" s="18" t="s">
        <v>27</v>
      </c>
      <c r="Q5" s="19">
        <v>1</v>
      </c>
      <c r="R5" s="19">
        <v>2</v>
      </c>
      <c r="S5" s="20">
        <v>3</v>
      </c>
      <c r="T5" s="20">
        <v>4</v>
      </c>
      <c r="U5" s="20">
        <v>5</v>
      </c>
      <c r="V5" s="19">
        <v>6</v>
      </c>
      <c r="W5" s="19">
        <v>7</v>
      </c>
      <c r="X5" s="19">
        <v>8</v>
      </c>
      <c r="Y5" s="19">
        <v>9</v>
      </c>
      <c r="Z5" s="19">
        <v>10</v>
      </c>
      <c r="AA5" s="20">
        <v>11</v>
      </c>
      <c r="AB5" s="20">
        <v>12</v>
      </c>
      <c r="AC5" s="19">
        <v>13</v>
      </c>
      <c r="AD5" s="20">
        <v>14</v>
      </c>
      <c r="AE5" s="19">
        <v>15</v>
      </c>
      <c r="AF5" s="19">
        <v>16</v>
      </c>
      <c r="AG5" s="19">
        <v>17</v>
      </c>
      <c r="AH5" s="19">
        <v>18</v>
      </c>
      <c r="AI5" s="20">
        <v>19</v>
      </c>
      <c r="AJ5" s="19">
        <v>20</v>
      </c>
      <c r="AK5" s="19">
        <v>21</v>
      </c>
      <c r="AL5" s="19">
        <v>22</v>
      </c>
      <c r="AM5" s="20">
        <v>23</v>
      </c>
      <c r="AN5" s="19">
        <v>24</v>
      </c>
      <c r="AO5" s="20">
        <v>25</v>
      </c>
      <c r="AP5" s="20">
        <v>26</v>
      </c>
      <c r="AQ5" s="19">
        <v>27</v>
      </c>
      <c r="AR5" s="19">
        <v>28</v>
      </c>
      <c r="AS5" s="19">
        <v>29</v>
      </c>
      <c r="AT5" s="19">
        <v>30</v>
      </c>
      <c r="AU5" s="20">
        <v>1</v>
      </c>
      <c r="AV5" s="20">
        <v>2</v>
      </c>
      <c r="AW5" s="20">
        <v>3</v>
      </c>
      <c r="AX5" s="19">
        <v>4</v>
      </c>
      <c r="AY5" s="19">
        <v>5</v>
      </c>
      <c r="AZ5" s="19">
        <v>6</v>
      </c>
      <c r="BA5" s="19">
        <v>7</v>
      </c>
      <c r="BB5" s="19">
        <v>8</v>
      </c>
      <c r="BC5" s="20">
        <v>9</v>
      </c>
      <c r="BD5" s="20">
        <v>10</v>
      </c>
      <c r="BE5" s="19">
        <v>11</v>
      </c>
      <c r="BF5" s="19">
        <v>12</v>
      </c>
      <c r="BG5" s="19">
        <v>13</v>
      </c>
      <c r="BH5" s="19">
        <v>14</v>
      </c>
      <c r="BI5" s="19">
        <v>15</v>
      </c>
      <c r="BJ5" s="20">
        <v>16</v>
      </c>
      <c r="BK5" s="20">
        <v>17</v>
      </c>
      <c r="BL5" s="19">
        <v>18</v>
      </c>
      <c r="BM5" s="19">
        <v>19</v>
      </c>
      <c r="BN5" s="19">
        <v>20</v>
      </c>
      <c r="BO5" s="19">
        <v>21</v>
      </c>
      <c r="BP5" s="19">
        <v>22</v>
      </c>
      <c r="BQ5" s="20">
        <v>23</v>
      </c>
      <c r="BR5" s="20">
        <v>24</v>
      </c>
      <c r="BS5" s="19">
        <v>25</v>
      </c>
      <c r="BT5" s="19">
        <v>26</v>
      </c>
      <c r="BU5" s="19">
        <v>27</v>
      </c>
      <c r="BV5" s="19">
        <v>28</v>
      </c>
      <c r="BW5" s="19">
        <v>29</v>
      </c>
      <c r="BX5" s="20">
        <v>30</v>
      </c>
      <c r="BY5" s="20">
        <v>31</v>
      </c>
      <c r="BZ5" s="20">
        <v>1</v>
      </c>
      <c r="CA5" s="19">
        <v>2</v>
      </c>
      <c r="CB5" s="19">
        <v>3</v>
      </c>
      <c r="CC5" s="19">
        <v>4</v>
      </c>
      <c r="CD5" s="19">
        <v>5</v>
      </c>
      <c r="CE5" s="19">
        <v>6</v>
      </c>
      <c r="CF5" s="20">
        <v>7</v>
      </c>
      <c r="CG5" s="20">
        <v>8</v>
      </c>
      <c r="CH5" s="19">
        <v>9</v>
      </c>
      <c r="CI5" s="19">
        <v>10</v>
      </c>
      <c r="CJ5" s="19">
        <v>11</v>
      </c>
      <c r="CK5" s="19">
        <v>12</v>
      </c>
      <c r="CL5" s="19">
        <v>13</v>
      </c>
      <c r="CM5" s="20">
        <v>14</v>
      </c>
      <c r="CN5" s="20">
        <v>15</v>
      </c>
      <c r="CO5" s="19">
        <v>16</v>
      </c>
      <c r="CP5" s="19">
        <v>17</v>
      </c>
      <c r="CQ5" s="19">
        <v>18</v>
      </c>
      <c r="CR5" s="19">
        <v>19</v>
      </c>
      <c r="CS5" s="19">
        <v>20</v>
      </c>
      <c r="CT5" s="20">
        <v>21</v>
      </c>
      <c r="CU5" s="20">
        <v>22</v>
      </c>
      <c r="CV5" s="19">
        <v>23</v>
      </c>
      <c r="CW5" s="19">
        <v>24</v>
      </c>
      <c r="CX5" s="19">
        <v>25</v>
      </c>
      <c r="CY5" s="19">
        <v>26</v>
      </c>
      <c r="CZ5" s="19">
        <v>27</v>
      </c>
      <c r="DA5" s="20">
        <v>28</v>
      </c>
      <c r="DB5" s="20">
        <v>29</v>
      </c>
      <c r="DC5" s="19">
        <v>30</v>
      </c>
      <c r="DD5" s="19">
        <v>1</v>
      </c>
      <c r="DE5" s="19">
        <v>2</v>
      </c>
      <c r="DF5" s="19">
        <v>3</v>
      </c>
      <c r="DG5" s="19">
        <v>4</v>
      </c>
      <c r="DH5" s="20">
        <v>5</v>
      </c>
      <c r="DI5" s="20">
        <v>6</v>
      </c>
      <c r="DJ5" s="19">
        <v>7</v>
      </c>
      <c r="DK5" s="19">
        <v>8</v>
      </c>
      <c r="DL5" s="19">
        <v>9</v>
      </c>
      <c r="DM5" s="19">
        <v>10</v>
      </c>
      <c r="DN5" s="19">
        <v>11</v>
      </c>
      <c r="DO5" s="20">
        <v>12</v>
      </c>
      <c r="DP5" s="20">
        <v>13</v>
      </c>
      <c r="DQ5" s="19">
        <v>14</v>
      </c>
      <c r="DR5" s="19">
        <v>15</v>
      </c>
      <c r="DS5" s="19">
        <v>16</v>
      </c>
      <c r="DT5" s="19">
        <v>17</v>
      </c>
      <c r="DU5" s="19">
        <v>18</v>
      </c>
      <c r="DV5" s="20">
        <v>19</v>
      </c>
      <c r="DW5" s="20">
        <v>20</v>
      </c>
      <c r="DX5" s="19">
        <v>21</v>
      </c>
      <c r="DY5" s="19">
        <v>22</v>
      </c>
      <c r="DZ5" s="19">
        <v>23</v>
      </c>
      <c r="EA5" s="19">
        <v>24</v>
      </c>
      <c r="EB5" s="19">
        <v>25</v>
      </c>
      <c r="EC5" s="20">
        <v>26</v>
      </c>
      <c r="ED5" s="20">
        <v>27</v>
      </c>
      <c r="EE5" s="19">
        <v>28</v>
      </c>
      <c r="EF5" s="19">
        <v>29</v>
      </c>
      <c r="EG5" s="19">
        <v>30</v>
      </c>
      <c r="EH5" s="19">
        <v>31</v>
      </c>
      <c r="EI5" s="19">
        <v>1</v>
      </c>
      <c r="EJ5" s="20">
        <v>2</v>
      </c>
      <c r="EK5" s="20">
        <v>3</v>
      </c>
      <c r="EL5" s="19">
        <v>4</v>
      </c>
      <c r="EM5" s="19">
        <v>5</v>
      </c>
      <c r="EN5" s="19">
        <v>6</v>
      </c>
      <c r="EO5" s="19">
        <v>7</v>
      </c>
      <c r="EP5" s="19">
        <v>8</v>
      </c>
      <c r="EQ5" s="20">
        <v>9</v>
      </c>
      <c r="ER5" s="20">
        <v>10</v>
      </c>
      <c r="ES5" s="19">
        <v>11</v>
      </c>
      <c r="ET5" s="19">
        <v>12</v>
      </c>
      <c r="EU5" s="19">
        <v>13</v>
      </c>
      <c r="EV5" s="19">
        <v>14</v>
      </c>
      <c r="EW5" s="20">
        <v>15</v>
      </c>
      <c r="EX5" s="20">
        <v>16</v>
      </c>
      <c r="EY5" s="20">
        <v>17</v>
      </c>
      <c r="EZ5" s="19">
        <v>18</v>
      </c>
      <c r="FA5" s="19">
        <v>19</v>
      </c>
      <c r="FB5" s="19">
        <v>20</v>
      </c>
      <c r="FC5" s="19">
        <v>21</v>
      </c>
      <c r="FD5" s="19">
        <v>22</v>
      </c>
      <c r="FE5" s="20">
        <v>23</v>
      </c>
      <c r="FF5" s="20">
        <v>24</v>
      </c>
      <c r="FG5" s="19">
        <v>25</v>
      </c>
      <c r="FH5" s="19">
        <v>26</v>
      </c>
      <c r="FI5" s="19">
        <v>27</v>
      </c>
      <c r="FJ5" s="19">
        <v>28</v>
      </c>
      <c r="FK5" s="19">
        <v>29</v>
      </c>
      <c r="FL5" s="20">
        <v>30</v>
      </c>
      <c r="FM5" s="20">
        <v>31</v>
      </c>
      <c r="FN5" s="19">
        <v>1</v>
      </c>
      <c r="FO5" s="19">
        <v>2</v>
      </c>
      <c r="FP5" s="19">
        <v>3</v>
      </c>
      <c r="FQ5" s="19">
        <v>4</v>
      </c>
      <c r="FR5" s="20">
        <v>5</v>
      </c>
      <c r="FS5" s="20">
        <v>6</v>
      </c>
      <c r="FT5" s="20">
        <v>7</v>
      </c>
      <c r="FU5" s="19">
        <v>8</v>
      </c>
      <c r="FV5" s="19">
        <v>9</v>
      </c>
      <c r="FW5" s="19">
        <v>10</v>
      </c>
      <c r="FX5" s="19">
        <v>11</v>
      </c>
      <c r="FY5" s="19">
        <v>12</v>
      </c>
      <c r="FZ5" s="20">
        <v>13</v>
      </c>
      <c r="GA5" s="20">
        <v>14</v>
      </c>
      <c r="GB5" s="19">
        <v>15</v>
      </c>
      <c r="GC5" s="19">
        <v>16</v>
      </c>
      <c r="GD5" s="19">
        <v>17</v>
      </c>
      <c r="GE5" s="19">
        <v>18</v>
      </c>
      <c r="GF5" s="19">
        <v>19</v>
      </c>
      <c r="GG5" s="20">
        <v>20</v>
      </c>
      <c r="GH5" s="20">
        <v>21</v>
      </c>
      <c r="GI5" s="19">
        <v>22</v>
      </c>
      <c r="GJ5" s="19">
        <v>23</v>
      </c>
      <c r="GK5" s="19">
        <v>24</v>
      </c>
      <c r="GL5" s="19">
        <v>25</v>
      </c>
      <c r="GM5" s="19">
        <v>26</v>
      </c>
      <c r="GN5" s="20">
        <v>27</v>
      </c>
      <c r="GO5" s="20">
        <v>28</v>
      </c>
      <c r="GP5" s="19">
        <v>29</v>
      </c>
      <c r="GQ5" s="19">
        <v>30</v>
      </c>
      <c r="GR5" s="20">
        <v>1</v>
      </c>
      <c r="GS5" s="20">
        <v>2</v>
      </c>
      <c r="GT5" s="19">
        <v>3</v>
      </c>
      <c r="GU5" s="20">
        <v>4</v>
      </c>
      <c r="GV5" s="20">
        <v>5</v>
      </c>
      <c r="GW5" s="19">
        <v>6</v>
      </c>
      <c r="GX5" s="19">
        <v>7</v>
      </c>
      <c r="GY5" s="19">
        <v>8</v>
      </c>
      <c r="GZ5" s="19">
        <v>9</v>
      </c>
      <c r="HA5" s="19">
        <v>10</v>
      </c>
      <c r="HB5" s="20">
        <v>11</v>
      </c>
      <c r="HC5" s="20">
        <v>12</v>
      </c>
      <c r="HD5" s="19">
        <v>13</v>
      </c>
      <c r="HE5" s="19">
        <v>14</v>
      </c>
      <c r="HF5" s="19">
        <v>15</v>
      </c>
      <c r="HG5" s="19">
        <v>16</v>
      </c>
      <c r="HH5" s="19">
        <v>17</v>
      </c>
      <c r="HI5" s="20">
        <v>18</v>
      </c>
      <c r="HJ5" s="20">
        <v>19</v>
      </c>
      <c r="HK5" s="20">
        <v>20</v>
      </c>
      <c r="HL5" s="19">
        <v>21</v>
      </c>
      <c r="HM5" s="19">
        <v>22</v>
      </c>
      <c r="HN5" s="19">
        <v>23</v>
      </c>
      <c r="HO5" s="19">
        <v>24</v>
      </c>
      <c r="HP5" s="20">
        <v>25</v>
      </c>
      <c r="HQ5" s="20">
        <v>26</v>
      </c>
      <c r="HR5" s="19">
        <v>27</v>
      </c>
      <c r="HS5" s="19">
        <v>28</v>
      </c>
      <c r="HT5" s="19">
        <v>29</v>
      </c>
      <c r="HU5" s="19">
        <v>30</v>
      </c>
      <c r="HV5" s="19">
        <v>31</v>
      </c>
      <c r="HW5" s="22">
        <v>1</v>
      </c>
      <c r="HX5" s="22">
        <v>2</v>
      </c>
      <c r="HY5" s="21">
        <v>3</v>
      </c>
      <c r="HZ5" s="21">
        <v>4</v>
      </c>
      <c r="IA5" s="21">
        <v>5</v>
      </c>
      <c r="IB5" s="21">
        <v>6</v>
      </c>
      <c r="IC5" s="21">
        <v>7</v>
      </c>
      <c r="ID5" s="22">
        <v>8</v>
      </c>
      <c r="IE5" s="22">
        <v>9</v>
      </c>
      <c r="IF5" s="21">
        <v>10</v>
      </c>
      <c r="IG5" s="21">
        <v>11</v>
      </c>
      <c r="IH5" s="21">
        <v>12</v>
      </c>
      <c r="II5" s="21">
        <v>13</v>
      </c>
      <c r="IJ5" s="21">
        <v>14</v>
      </c>
      <c r="IK5" s="22">
        <v>15</v>
      </c>
      <c r="IL5" s="22">
        <v>16</v>
      </c>
      <c r="IM5" s="21">
        <v>17</v>
      </c>
      <c r="IN5" s="21">
        <v>18</v>
      </c>
      <c r="IO5" s="21">
        <v>19</v>
      </c>
      <c r="IP5" s="21">
        <v>20</v>
      </c>
      <c r="IQ5" s="21">
        <v>21</v>
      </c>
      <c r="IR5" s="22">
        <v>22</v>
      </c>
      <c r="IS5" s="22">
        <v>23</v>
      </c>
      <c r="IT5" s="21">
        <v>24</v>
      </c>
      <c r="IU5" s="21">
        <v>25</v>
      </c>
      <c r="IV5" s="21">
        <v>26</v>
      </c>
      <c r="IW5" s="21">
        <v>27</v>
      </c>
      <c r="IX5" s="21">
        <v>28</v>
      </c>
      <c r="IY5" s="22">
        <v>29</v>
      </c>
      <c r="IZ5" s="22">
        <v>30</v>
      </c>
      <c r="JA5" s="21">
        <v>1</v>
      </c>
      <c r="JB5" s="21">
        <v>2</v>
      </c>
      <c r="JC5" s="21">
        <v>3</v>
      </c>
      <c r="JD5" s="21">
        <v>4</v>
      </c>
      <c r="JE5" s="21">
        <v>5</v>
      </c>
      <c r="JF5" s="22">
        <v>6</v>
      </c>
      <c r="JG5" s="22">
        <v>7</v>
      </c>
      <c r="JH5" s="21">
        <v>8</v>
      </c>
      <c r="JI5" s="21">
        <v>9</v>
      </c>
      <c r="JJ5" s="21">
        <v>10</v>
      </c>
      <c r="JK5" s="21">
        <v>11</v>
      </c>
      <c r="JL5" s="21">
        <v>12</v>
      </c>
      <c r="JM5" s="22">
        <v>13</v>
      </c>
      <c r="JN5" s="22">
        <v>14</v>
      </c>
      <c r="JO5" s="21">
        <v>15</v>
      </c>
      <c r="JP5" s="21">
        <v>16</v>
      </c>
      <c r="JQ5" s="21">
        <v>17</v>
      </c>
      <c r="JR5" s="21">
        <v>18</v>
      </c>
      <c r="JS5" s="21">
        <v>19</v>
      </c>
      <c r="JT5" s="22">
        <v>20</v>
      </c>
      <c r="JU5" s="22">
        <v>21</v>
      </c>
      <c r="JV5" s="21">
        <v>22</v>
      </c>
      <c r="JW5" s="21">
        <v>23</v>
      </c>
      <c r="JX5" s="21">
        <v>24</v>
      </c>
      <c r="JY5" s="22">
        <v>25</v>
      </c>
      <c r="JZ5" s="21">
        <v>26</v>
      </c>
      <c r="KA5" s="22">
        <v>27</v>
      </c>
      <c r="KB5" s="22">
        <v>28</v>
      </c>
      <c r="KC5" s="21">
        <v>29</v>
      </c>
      <c r="KD5" s="21">
        <v>30</v>
      </c>
      <c r="KE5" s="21">
        <v>31</v>
      </c>
      <c r="KF5" s="22">
        <v>1</v>
      </c>
      <c r="KG5" s="21">
        <v>2</v>
      </c>
      <c r="KH5" s="22">
        <v>3</v>
      </c>
      <c r="KI5" s="22">
        <v>4</v>
      </c>
      <c r="KJ5" s="21">
        <v>5</v>
      </c>
      <c r="KK5" s="21">
        <v>6</v>
      </c>
      <c r="KL5" s="21">
        <v>7</v>
      </c>
      <c r="KM5" s="21">
        <v>8</v>
      </c>
      <c r="KN5" s="21">
        <v>9</v>
      </c>
      <c r="KO5" s="22">
        <v>10</v>
      </c>
      <c r="KP5" s="22">
        <v>11</v>
      </c>
      <c r="KQ5" s="21">
        <v>12</v>
      </c>
      <c r="KR5" s="21">
        <v>13</v>
      </c>
      <c r="KS5" s="21">
        <v>14</v>
      </c>
      <c r="KT5" s="22">
        <v>15</v>
      </c>
      <c r="KU5" s="22">
        <v>16</v>
      </c>
      <c r="KV5" s="22">
        <v>17</v>
      </c>
      <c r="KW5" s="22">
        <v>18</v>
      </c>
      <c r="KX5" s="21">
        <v>19</v>
      </c>
      <c r="KY5" s="21">
        <v>20</v>
      </c>
      <c r="KZ5" s="21">
        <v>21</v>
      </c>
      <c r="LA5" s="21">
        <v>22</v>
      </c>
      <c r="LB5" s="21">
        <v>23</v>
      </c>
      <c r="LC5" s="22">
        <v>24</v>
      </c>
      <c r="LD5" s="22">
        <v>25</v>
      </c>
      <c r="LE5" s="22">
        <v>26</v>
      </c>
      <c r="LF5" s="21">
        <v>27</v>
      </c>
      <c r="LG5" s="21">
        <v>28</v>
      </c>
      <c r="LH5" s="21">
        <v>29</v>
      </c>
      <c r="LI5" s="21">
        <v>30</v>
      </c>
      <c r="LJ5" s="22">
        <v>31</v>
      </c>
      <c r="LK5" s="22">
        <v>1</v>
      </c>
      <c r="LL5" s="21">
        <v>2</v>
      </c>
      <c r="LM5" s="21">
        <v>3</v>
      </c>
      <c r="LN5" s="21">
        <v>4</v>
      </c>
      <c r="LO5" s="21">
        <v>5</v>
      </c>
      <c r="LP5" s="21">
        <v>6</v>
      </c>
      <c r="LQ5" s="22">
        <v>7</v>
      </c>
      <c r="LR5" s="22">
        <v>8</v>
      </c>
      <c r="LS5" s="21">
        <v>9</v>
      </c>
      <c r="LT5" s="21">
        <v>10</v>
      </c>
      <c r="LU5" s="21">
        <v>11</v>
      </c>
      <c r="LV5" s="21">
        <v>12</v>
      </c>
      <c r="LW5" s="21">
        <v>13</v>
      </c>
      <c r="LX5" s="22">
        <v>14</v>
      </c>
      <c r="LY5" s="22">
        <v>15</v>
      </c>
      <c r="LZ5" s="21">
        <v>16</v>
      </c>
      <c r="MA5" s="21">
        <v>17</v>
      </c>
      <c r="MB5" s="21">
        <v>18</v>
      </c>
      <c r="MC5" s="21">
        <v>19</v>
      </c>
      <c r="MD5" s="21">
        <v>20</v>
      </c>
      <c r="ME5" s="22">
        <v>21</v>
      </c>
      <c r="MF5" s="22">
        <v>22</v>
      </c>
      <c r="MG5" s="21">
        <v>23</v>
      </c>
      <c r="MH5" s="21">
        <v>24</v>
      </c>
      <c r="MI5" s="21">
        <v>25</v>
      </c>
      <c r="MJ5" s="21">
        <v>26</v>
      </c>
      <c r="MK5" s="21">
        <v>27</v>
      </c>
      <c r="ML5" s="22">
        <v>28</v>
      </c>
      <c r="MM5" s="21"/>
      <c r="MN5" s="22">
        <v>1</v>
      </c>
      <c r="MO5" s="21">
        <v>2</v>
      </c>
      <c r="MP5" s="21">
        <v>3</v>
      </c>
      <c r="MQ5" s="21">
        <v>4</v>
      </c>
      <c r="MR5" s="21">
        <v>5</v>
      </c>
      <c r="MS5" s="21">
        <v>6</v>
      </c>
      <c r="MT5" s="22">
        <v>7</v>
      </c>
      <c r="MU5" s="22">
        <v>8</v>
      </c>
      <c r="MV5" s="21">
        <v>9</v>
      </c>
      <c r="MW5" s="21">
        <v>10</v>
      </c>
      <c r="MX5" s="21">
        <v>11</v>
      </c>
      <c r="MY5" s="21">
        <v>12</v>
      </c>
      <c r="MZ5" s="21">
        <v>13</v>
      </c>
      <c r="NA5" s="22">
        <v>14</v>
      </c>
      <c r="NB5" s="22">
        <v>15</v>
      </c>
      <c r="NC5" s="21">
        <v>16</v>
      </c>
      <c r="ND5" s="21">
        <v>17</v>
      </c>
      <c r="NE5" s="21">
        <v>18</v>
      </c>
      <c r="NF5" s="21">
        <v>19</v>
      </c>
      <c r="NG5" s="21">
        <v>20</v>
      </c>
      <c r="NH5" s="22">
        <v>21</v>
      </c>
      <c r="NI5" s="22">
        <v>22</v>
      </c>
      <c r="NJ5" s="21">
        <v>23</v>
      </c>
      <c r="NK5" s="21">
        <v>24</v>
      </c>
      <c r="NL5" s="21">
        <v>25</v>
      </c>
      <c r="NM5" s="21">
        <v>26</v>
      </c>
      <c r="NN5" s="21">
        <v>27</v>
      </c>
      <c r="NO5" s="22">
        <v>28</v>
      </c>
      <c r="NP5" s="22">
        <v>29</v>
      </c>
      <c r="NQ5" s="21">
        <v>30</v>
      </c>
      <c r="NR5" s="21">
        <v>31</v>
      </c>
    </row>
    <row r="6" spans="2:382" x14ac:dyDescent="0.4">
      <c r="B6" s="23">
        <v>1</v>
      </c>
      <c r="C6" s="26" t="s">
        <v>92</v>
      </c>
      <c r="D6" s="23" t="s">
        <v>93</v>
      </c>
      <c r="E6" s="26" t="s">
        <v>32</v>
      </c>
      <c r="F6" s="26" t="s">
        <v>40</v>
      </c>
      <c r="G6" s="23" t="s">
        <v>30</v>
      </c>
      <c r="H6" s="23">
        <v>65</v>
      </c>
      <c r="I6" s="25">
        <f t="shared" ref="I6:I10" si="0">SUM(Q6:NR6)*9</f>
        <v>45</v>
      </c>
      <c r="J6" s="25"/>
      <c r="K6" s="26" t="s">
        <v>33</v>
      </c>
      <c r="L6" s="66">
        <v>46076</v>
      </c>
      <c r="M6" s="66" t="s">
        <v>31</v>
      </c>
      <c r="N6" s="26" t="s">
        <v>82</v>
      </c>
      <c r="O6" s="26" t="s">
        <v>36</v>
      </c>
      <c r="P6" s="68" t="s">
        <v>1</v>
      </c>
      <c r="Q6" s="26">
        <v>1</v>
      </c>
      <c r="R6" s="26">
        <v>1</v>
      </c>
      <c r="S6" s="27"/>
      <c r="T6" s="27"/>
      <c r="U6" s="27"/>
      <c r="V6" s="26">
        <v>1</v>
      </c>
      <c r="W6" s="26">
        <v>1</v>
      </c>
      <c r="X6" s="72">
        <v>1</v>
      </c>
      <c r="Y6" s="26"/>
      <c r="Z6" s="26"/>
      <c r="AA6" s="27"/>
      <c r="AB6" s="27"/>
      <c r="AC6" s="26"/>
      <c r="AD6" s="27"/>
      <c r="AE6" s="26"/>
      <c r="AF6" s="26"/>
      <c r="AG6" s="26"/>
      <c r="AH6" s="26"/>
      <c r="AI6" s="27"/>
      <c r="AJ6" s="26"/>
      <c r="AK6" s="26"/>
      <c r="AL6" s="26"/>
      <c r="AM6" s="27"/>
      <c r="AN6" s="26"/>
      <c r="AO6" s="27"/>
      <c r="AP6" s="27"/>
      <c r="AQ6" s="26"/>
      <c r="AR6" s="26"/>
      <c r="AS6" s="26"/>
      <c r="AT6" s="26"/>
      <c r="AU6" s="27"/>
      <c r="AV6" s="27"/>
      <c r="AW6" s="27"/>
      <c r="AX6" s="26"/>
      <c r="AY6" s="26"/>
      <c r="AZ6" s="26"/>
      <c r="BA6" s="26"/>
      <c r="BB6" s="26"/>
      <c r="BC6" s="27"/>
      <c r="BD6" s="27"/>
      <c r="BE6" s="26"/>
      <c r="BF6" s="26"/>
      <c r="BG6" s="26"/>
      <c r="BH6" s="26"/>
      <c r="BI6" s="26"/>
      <c r="BJ6" s="27"/>
      <c r="BK6" s="27"/>
      <c r="BL6" s="26"/>
      <c r="BM6" s="26"/>
      <c r="BN6" s="26"/>
      <c r="BO6" s="26"/>
      <c r="BP6" s="26"/>
      <c r="BQ6" s="27"/>
      <c r="BR6" s="27"/>
      <c r="BS6" s="26"/>
      <c r="BT6" s="26"/>
      <c r="BU6" s="26"/>
      <c r="BV6" s="26"/>
      <c r="BW6" s="26"/>
      <c r="BX6" s="27"/>
      <c r="BY6" s="27"/>
      <c r="BZ6" s="27"/>
      <c r="CA6" s="26"/>
      <c r="CB6" s="26"/>
      <c r="CC6" s="26"/>
      <c r="CD6" s="26"/>
      <c r="CE6" s="26"/>
      <c r="CF6" s="27"/>
      <c r="CG6" s="27"/>
      <c r="CH6" s="26"/>
      <c r="CI6" s="26"/>
      <c r="CJ6" s="26"/>
      <c r="CK6" s="26"/>
      <c r="CL6" s="26"/>
      <c r="CM6" s="27"/>
      <c r="CN6" s="27"/>
      <c r="CO6" s="26"/>
      <c r="CP6" s="26"/>
      <c r="CQ6" s="26"/>
      <c r="CR6" s="26"/>
      <c r="CS6" s="26"/>
      <c r="CT6" s="27"/>
      <c r="CU6" s="27"/>
      <c r="CV6" s="26"/>
      <c r="CW6" s="26"/>
      <c r="CX6" s="26"/>
      <c r="CY6" s="26"/>
      <c r="CZ6" s="26"/>
      <c r="DA6" s="27"/>
      <c r="DB6" s="27"/>
      <c r="DC6" s="26"/>
      <c r="DD6" s="26"/>
      <c r="DE6" s="26"/>
      <c r="DF6" s="26"/>
      <c r="DG6" s="26"/>
      <c r="DH6" s="27"/>
      <c r="DI6" s="27"/>
      <c r="DJ6" s="26"/>
      <c r="DK6" s="26"/>
      <c r="DL6" s="26"/>
      <c r="DM6" s="26"/>
      <c r="DN6" s="26"/>
      <c r="DO6" s="27"/>
      <c r="DP6" s="27"/>
      <c r="DQ6" s="26"/>
      <c r="DR6" s="26"/>
      <c r="DS6" s="26"/>
      <c r="DT6" s="26"/>
      <c r="DU6" s="26"/>
      <c r="DV6" s="27"/>
      <c r="DW6" s="27"/>
      <c r="DX6" s="26"/>
      <c r="DY6" s="26"/>
      <c r="DZ6" s="26"/>
      <c r="EA6" s="26"/>
      <c r="EB6" s="26"/>
      <c r="EC6" s="27"/>
      <c r="ED6" s="27"/>
      <c r="EE6" s="26"/>
      <c r="EF6" s="26"/>
      <c r="EG6" s="26"/>
      <c r="EH6" s="26"/>
      <c r="EI6" s="26"/>
      <c r="EJ6" s="27"/>
      <c r="EK6" s="27"/>
      <c r="EL6" s="26"/>
      <c r="EM6" s="26"/>
      <c r="EN6" s="26"/>
      <c r="EO6" s="26"/>
      <c r="EP6" s="26"/>
      <c r="EQ6" s="27"/>
      <c r="ER6" s="27"/>
      <c r="ES6" s="26"/>
      <c r="ET6" s="26"/>
      <c r="EU6" s="26"/>
      <c r="EV6" s="26"/>
      <c r="EW6" s="27"/>
      <c r="EX6" s="27"/>
      <c r="EY6" s="27"/>
      <c r="EZ6" s="26"/>
      <c r="FA6" s="26"/>
      <c r="FB6" s="26"/>
      <c r="FC6" s="26"/>
      <c r="FD6" s="26"/>
      <c r="FE6" s="27"/>
      <c r="FF6" s="27"/>
      <c r="FG6" s="26"/>
      <c r="FH6" s="26"/>
      <c r="FI6" s="26"/>
      <c r="FJ6" s="26"/>
      <c r="FK6" s="26"/>
      <c r="FL6" s="27"/>
      <c r="FM6" s="27"/>
      <c r="FN6" s="26"/>
      <c r="FO6" s="26"/>
      <c r="FP6" s="26"/>
      <c r="FQ6" s="26"/>
      <c r="FR6" s="27"/>
      <c r="FS6" s="27"/>
      <c r="FT6" s="27"/>
      <c r="FU6" s="26"/>
      <c r="FV6" s="26"/>
      <c r="FW6" s="26"/>
      <c r="FX6" s="26"/>
      <c r="FY6" s="26"/>
      <c r="FZ6" s="27"/>
      <c r="GA6" s="27"/>
      <c r="GB6" s="26"/>
      <c r="GC6" s="26"/>
      <c r="GD6" s="26"/>
      <c r="GE6" s="26"/>
      <c r="GF6" s="26"/>
      <c r="GG6" s="27"/>
      <c r="GH6" s="27"/>
      <c r="GI6" s="26"/>
      <c r="GJ6" s="26"/>
      <c r="GK6" s="26"/>
      <c r="GL6" s="26"/>
      <c r="GM6" s="26"/>
      <c r="GN6" s="27"/>
      <c r="GO6" s="27"/>
      <c r="GP6" s="26"/>
      <c r="GQ6" s="26"/>
      <c r="GR6" s="27"/>
      <c r="GS6" s="27"/>
      <c r="GT6" s="26"/>
      <c r="GU6" s="27"/>
      <c r="GV6" s="27"/>
      <c r="GW6" s="26"/>
      <c r="GX6" s="26"/>
      <c r="GY6" s="26"/>
      <c r="GZ6" s="26"/>
      <c r="HA6" s="26"/>
      <c r="HB6" s="27"/>
      <c r="HC6" s="27"/>
      <c r="HD6" s="26"/>
      <c r="HE6" s="28"/>
      <c r="HF6" s="28"/>
      <c r="HG6" s="26"/>
      <c r="HH6" s="26"/>
      <c r="HI6" s="27"/>
      <c r="HJ6" s="27"/>
      <c r="HK6" s="27"/>
      <c r="HL6" s="28"/>
      <c r="HM6" s="28"/>
      <c r="HN6" s="26"/>
      <c r="HO6" s="26"/>
      <c r="HP6" s="27"/>
      <c r="HQ6" s="27"/>
      <c r="HR6" s="26"/>
      <c r="HS6" s="28"/>
      <c r="HT6" s="28"/>
      <c r="HU6" s="26"/>
      <c r="HV6" s="26"/>
      <c r="HW6" s="27"/>
      <c r="HX6" s="27"/>
      <c r="HY6" s="26"/>
      <c r="HZ6" s="26"/>
      <c r="IA6" s="26"/>
      <c r="IB6" s="26"/>
      <c r="IC6" s="26"/>
      <c r="ID6" s="27"/>
      <c r="IE6" s="27"/>
      <c r="IF6" s="26"/>
      <c r="IG6" s="26"/>
      <c r="IH6" s="26"/>
      <c r="II6" s="26"/>
      <c r="IJ6" s="26"/>
      <c r="IK6" s="27"/>
      <c r="IL6" s="27"/>
      <c r="IM6" s="26"/>
      <c r="IN6" s="26"/>
      <c r="IO6" s="26"/>
      <c r="IP6" s="26"/>
      <c r="IQ6" s="26"/>
      <c r="IR6" s="27"/>
      <c r="IS6" s="27"/>
      <c r="IT6" s="26"/>
      <c r="IU6" s="26"/>
      <c r="IV6" s="26"/>
      <c r="IW6" s="26"/>
      <c r="IX6" s="26"/>
      <c r="IY6" s="27"/>
      <c r="IZ6" s="27"/>
      <c r="JA6" s="26"/>
      <c r="JB6" s="26"/>
      <c r="JC6" s="26"/>
      <c r="JD6" s="26"/>
      <c r="JE6" s="26"/>
      <c r="JF6" s="27"/>
      <c r="JG6" s="27"/>
      <c r="JH6" s="26"/>
      <c r="JI6" s="26"/>
      <c r="JJ6" s="26"/>
      <c r="JK6" s="26"/>
      <c r="JL6" s="26"/>
      <c r="JM6" s="27"/>
      <c r="JN6" s="27"/>
      <c r="JO6" s="26"/>
      <c r="JP6" s="26"/>
      <c r="JQ6" s="26"/>
      <c r="JR6" s="26"/>
      <c r="JS6" s="26"/>
      <c r="JT6" s="27"/>
      <c r="JU6" s="27"/>
      <c r="JV6" s="26"/>
      <c r="JW6" s="26"/>
      <c r="JX6" s="26"/>
      <c r="JY6" s="27"/>
      <c r="JZ6" s="26"/>
      <c r="KA6" s="27"/>
      <c r="KB6" s="27"/>
      <c r="KC6" s="26"/>
      <c r="KD6" s="26"/>
      <c r="KE6" s="26"/>
      <c r="KF6" s="27"/>
      <c r="KG6" s="26"/>
      <c r="KH6" s="27"/>
      <c r="KI6" s="27"/>
      <c r="KJ6" s="26"/>
      <c r="KK6" s="26"/>
      <c r="KL6" s="26"/>
      <c r="KM6" s="26"/>
      <c r="KN6" s="26"/>
      <c r="KO6" s="27"/>
      <c r="KP6" s="27"/>
      <c r="KQ6" s="26"/>
      <c r="KR6" s="26"/>
      <c r="KS6" s="26"/>
      <c r="KT6" s="27"/>
      <c r="KU6" s="27"/>
      <c r="KV6" s="27"/>
      <c r="KW6" s="27"/>
      <c r="KX6" s="26"/>
      <c r="KY6" s="26"/>
      <c r="KZ6" s="26"/>
      <c r="LA6" s="26"/>
      <c r="LB6" s="26"/>
      <c r="LC6" s="27"/>
      <c r="LD6" s="27"/>
      <c r="LE6" s="27"/>
      <c r="LF6" s="26"/>
      <c r="LG6" s="26"/>
      <c r="LH6" s="26"/>
      <c r="LI6" s="26"/>
      <c r="LJ6" s="27"/>
      <c r="LK6" s="27"/>
      <c r="LL6" s="26"/>
      <c r="LM6" s="26"/>
      <c r="LN6" s="26"/>
      <c r="LO6" s="26"/>
      <c r="LP6" s="26"/>
      <c r="LQ6" s="27"/>
      <c r="LR6" s="27"/>
      <c r="LS6" s="26"/>
      <c r="LT6" s="26"/>
      <c r="LU6" s="26"/>
      <c r="LV6" s="26"/>
      <c r="LW6" s="26"/>
      <c r="LX6" s="27"/>
      <c r="LY6" s="27"/>
      <c r="LZ6" s="26"/>
      <c r="MA6" s="26"/>
      <c r="MB6" s="26"/>
      <c r="MC6" s="26"/>
      <c r="MD6" s="26"/>
      <c r="ME6" s="27"/>
      <c r="MF6" s="27"/>
      <c r="MG6" s="26"/>
      <c r="MH6" s="26"/>
      <c r="MI6" s="26"/>
      <c r="MJ6" s="26"/>
      <c r="MK6" s="26"/>
      <c r="ML6" s="27"/>
      <c r="MM6" s="26"/>
      <c r="MN6" s="27"/>
      <c r="MO6" s="26"/>
      <c r="MP6" s="26"/>
      <c r="MQ6" s="26"/>
      <c r="MR6" s="26"/>
      <c r="MS6" s="26"/>
      <c r="MT6" s="27"/>
      <c r="MU6" s="27"/>
      <c r="MV6" s="26"/>
      <c r="MW6" s="26"/>
      <c r="MX6" s="26"/>
      <c r="MY6" s="26"/>
      <c r="MZ6" s="26"/>
      <c r="NA6" s="27"/>
      <c r="NB6" s="27"/>
      <c r="NC6" s="26"/>
      <c r="ND6" s="26"/>
      <c r="NE6" s="26"/>
      <c r="NF6" s="26"/>
      <c r="NG6" s="26"/>
      <c r="NH6" s="27"/>
      <c r="NI6" s="27"/>
      <c r="NJ6" s="26"/>
      <c r="NK6" s="26"/>
      <c r="NL6" s="26"/>
      <c r="NM6" s="26"/>
      <c r="NN6" s="26"/>
      <c r="NO6" s="27"/>
      <c r="NP6" s="27"/>
      <c r="NQ6" s="26"/>
      <c r="NR6" s="26"/>
    </row>
    <row r="7" spans="2:382" x14ac:dyDescent="0.4">
      <c r="B7" s="23">
        <v>2</v>
      </c>
      <c r="C7" s="26" t="s">
        <v>87</v>
      </c>
      <c r="D7" s="23" t="s">
        <v>88</v>
      </c>
      <c r="E7" s="26" t="s">
        <v>28</v>
      </c>
      <c r="F7" s="26" t="s">
        <v>40</v>
      </c>
      <c r="G7" s="23" t="s">
        <v>89</v>
      </c>
      <c r="H7" s="23"/>
      <c r="I7" s="25">
        <f t="shared" si="0"/>
        <v>27</v>
      </c>
      <c r="J7" s="25"/>
      <c r="K7" s="26" t="s">
        <v>90</v>
      </c>
      <c r="L7" s="66">
        <v>46080</v>
      </c>
      <c r="M7" s="66"/>
      <c r="N7" s="29"/>
      <c r="O7" s="26" t="s">
        <v>91</v>
      </c>
      <c r="P7" s="68" t="s">
        <v>1</v>
      </c>
      <c r="Q7" s="26"/>
      <c r="R7" s="26"/>
      <c r="S7" s="27"/>
      <c r="T7" s="27"/>
      <c r="U7" s="27"/>
      <c r="V7" s="26"/>
      <c r="W7" s="26"/>
      <c r="X7" s="26"/>
      <c r="Y7" s="26"/>
      <c r="Z7" s="26"/>
      <c r="AA7" s="27"/>
      <c r="AB7" s="27"/>
      <c r="AC7" s="26"/>
      <c r="AD7" s="27"/>
      <c r="AE7" s="26"/>
      <c r="AF7" s="26"/>
      <c r="AG7" s="26"/>
      <c r="AH7" s="26"/>
      <c r="AI7" s="27"/>
      <c r="AJ7" s="26"/>
      <c r="AK7" s="26"/>
      <c r="AL7" s="26"/>
      <c r="AM7" s="27"/>
      <c r="AN7" s="26"/>
      <c r="AO7" s="27"/>
      <c r="AP7" s="27"/>
      <c r="AQ7" s="26"/>
      <c r="AR7" s="26"/>
      <c r="AS7" s="26"/>
      <c r="AT7" s="26"/>
      <c r="AU7" s="27"/>
      <c r="AV7" s="27"/>
      <c r="AW7" s="27"/>
      <c r="AX7" s="26"/>
      <c r="AY7" s="26"/>
      <c r="AZ7" s="26"/>
      <c r="BA7" s="26"/>
      <c r="BB7" s="26"/>
      <c r="BC7" s="27"/>
      <c r="BD7" s="27"/>
      <c r="BE7" s="26">
        <v>1</v>
      </c>
      <c r="BF7" s="26">
        <v>1</v>
      </c>
      <c r="BG7" s="26">
        <v>1</v>
      </c>
      <c r="BH7" s="26"/>
      <c r="BI7" s="26"/>
      <c r="BJ7" s="27"/>
      <c r="BK7" s="27"/>
      <c r="BL7" s="26"/>
      <c r="BM7" s="26"/>
      <c r="BN7" s="26"/>
      <c r="BO7" s="26"/>
      <c r="BP7" s="26"/>
      <c r="BQ7" s="27"/>
      <c r="BR7" s="27"/>
      <c r="BS7" s="26"/>
      <c r="BT7" s="26"/>
      <c r="BU7" s="26"/>
      <c r="BV7" s="26"/>
      <c r="BW7" s="26"/>
      <c r="BX7" s="27"/>
      <c r="BY7" s="27"/>
      <c r="BZ7" s="27"/>
      <c r="CA7" s="26"/>
      <c r="CB7" s="26"/>
      <c r="CC7" s="26"/>
      <c r="CD7" s="26"/>
      <c r="CE7" s="26"/>
      <c r="CF7" s="27"/>
      <c r="CG7" s="27"/>
      <c r="CH7" s="26"/>
      <c r="CI7" s="26"/>
      <c r="CJ7" s="26"/>
      <c r="CK7" s="26"/>
      <c r="CL7" s="26"/>
      <c r="CM7" s="27"/>
      <c r="CN7" s="27"/>
      <c r="CO7" s="26"/>
      <c r="CP7" s="26"/>
      <c r="CQ7" s="26"/>
      <c r="CR7" s="26"/>
      <c r="CS7" s="26"/>
      <c r="CT7" s="27"/>
      <c r="CU7" s="27"/>
      <c r="CV7" s="26"/>
      <c r="CW7" s="26"/>
      <c r="CX7" s="26"/>
      <c r="CY7" s="26"/>
      <c r="CZ7" s="26"/>
      <c r="DA7" s="27"/>
      <c r="DB7" s="27"/>
      <c r="DC7" s="26"/>
      <c r="DD7" s="26"/>
      <c r="DE7" s="26"/>
      <c r="DF7" s="26"/>
      <c r="DG7" s="26"/>
      <c r="DH7" s="27"/>
      <c r="DI7" s="27"/>
      <c r="DJ7" s="26"/>
      <c r="DK7" s="26"/>
      <c r="DL7" s="26"/>
      <c r="DM7" s="26"/>
      <c r="DN7" s="26"/>
      <c r="DO7" s="27"/>
      <c r="DP7" s="27"/>
      <c r="DQ7" s="26"/>
      <c r="DR7" s="26"/>
      <c r="DS7" s="26"/>
      <c r="DT7" s="26"/>
      <c r="DU7" s="26"/>
      <c r="DV7" s="27"/>
      <c r="DW7" s="27"/>
      <c r="DX7" s="26"/>
      <c r="DY7" s="26"/>
      <c r="DZ7" s="26"/>
      <c r="EA7" s="26"/>
      <c r="EB7" s="26"/>
      <c r="EC7" s="27"/>
      <c r="ED7" s="27"/>
      <c r="EE7" s="26"/>
      <c r="EF7" s="26"/>
      <c r="EG7" s="26"/>
      <c r="EH7" s="26"/>
      <c r="EI7" s="26"/>
      <c r="EJ7" s="27"/>
      <c r="EK7" s="27"/>
      <c r="EL7" s="26"/>
      <c r="EM7" s="26"/>
      <c r="EN7" s="26"/>
      <c r="EO7" s="26"/>
      <c r="EP7" s="26"/>
      <c r="EQ7" s="27"/>
      <c r="ER7" s="27"/>
      <c r="ES7" s="26"/>
      <c r="ET7" s="26"/>
      <c r="EU7" s="26"/>
      <c r="EV7" s="26"/>
      <c r="EW7" s="27"/>
      <c r="EX7" s="27"/>
      <c r="EY7" s="27"/>
      <c r="EZ7" s="26"/>
      <c r="FA7" s="26"/>
      <c r="FB7" s="26"/>
      <c r="FC7" s="26"/>
      <c r="FD7" s="26"/>
      <c r="FE7" s="27"/>
      <c r="FF7" s="27"/>
      <c r="FG7" s="26"/>
      <c r="FH7" s="26"/>
      <c r="FI7" s="26"/>
      <c r="FJ7" s="26"/>
      <c r="FK7" s="26"/>
      <c r="FL7" s="27"/>
      <c r="FM7" s="27"/>
      <c r="FN7" s="26"/>
      <c r="FO7" s="26"/>
      <c r="FP7" s="26"/>
      <c r="FQ7" s="26"/>
      <c r="FR7" s="27"/>
      <c r="FS7" s="27"/>
      <c r="FT7" s="27"/>
      <c r="FU7" s="26"/>
      <c r="FV7" s="26"/>
      <c r="FW7" s="26"/>
      <c r="FX7" s="26"/>
      <c r="FY7" s="26"/>
      <c r="FZ7" s="27"/>
      <c r="GA7" s="27"/>
      <c r="GB7" s="26"/>
      <c r="GC7" s="26"/>
      <c r="GD7" s="26"/>
      <c r="GE7" s="26"/>
      <c r="GF7" s="26"/>
      <c r="GG7" s="27"/>
      <c r="GH7" s="27"/>
      <c r="GI7" s="26"/>
      <c r="GJ7" s="26"/>
      <c r="GK7" s="26"/>
      <c r="GL7" s="26"/>
      <c r="GM7" s="26"/>
      <c r="GN7" s="27"/>
      <c r="GO7" s="27"/>
      <c r="GP7" s="26"/>
      <c r="GQ7" s="26"/>
      <c r="GR7" s="27"/>
      <c r="GS7" s="27"/>
      <c r="GT7" s="26"/>
      <c r="GU7" s="27"/>
      <c r="GV7" s="27"/>
      <c r="GW7" s="26"/>
      <c r="GX7" s="26"/>
      <c r="GY7" s="26"/>
      <c r="GZ7" s="26"/>
      <c r="HA7" s="26"/>
      <c r="HB7" s="27"/>
      <c r="HC7" s="27"/>
      <c r="HD7" s="26"/>
      <c r="HE7" s="28"/>
      <c r="HF7" s="28"/>
      <c r="HG7" s="26"/>
      <c r="HH7" s="26"/>
      <c r="HI7" s="27"/>
      <c r="HJ7" s="27"/>
      <c r="HK7" s="27"/>
      <c r="HL7" s="28"/>
      <c r="HM7" s="28"/>
      <c r="HN7" s="26"/>
      <c r="HO7" s="26"/>
      <c r="HP7" s="27"/>
      <c r="HQ7" s="27"/>
      <c r="HR7" s="26"/>
      <c r="HS7" s="28"/>
      <c r="HT7" s="28"/>
      <c r="HU7" s="26"/>
      <c r="HV7" s="26"/>
      <c r="HW7" s="27"/>
      <c r="HX7" s="27"/>
      <c r="HY7" s="26"/>
      <c r="HZ7" s="26"/>
      <c r="IA7" s="26"/>
      <c r="IB7" s="26"/>
      <c r="IC7" s="26"/>
      <c r="ID7" s="27"/>
      <c r="IE7" s="27"/>
      <c r="IF7" s="26"/>
      <c r="IG7" s="26"/>
      <c r="IH7" s="26"/>
      <c r="II7" s="26"/>
      <c r="IJ7" s="26"/>
      <c r="IK7" s="27"/>
      <c r="IL7" s="27"/>
      <c r="IM7" s="26"/>
      <c r="IN7" s="26"/>
      <c r="IO7" s="26"/>
      <c r="IP7" s="26"/>
      <c r="IQ7" s="26"/>
      <c r="IR7" s="27"/>
      <c r="IS7" s="27"/>
      <c r="IT7" s="26"/>
      <c r="IU7" s="26"/>
      <c r="IV7" s="26"/>
      <c r="IW7" s="26"/>
      <c r="IX7" s="26"/>
      <c r="IY7" s="27"/>
      <c r="IZ7" s="27"/>
      <c r="JA7" s="26"/>
      <c r="JB7" s="26"/>
      <c r="JC7" s="26"/>
      <c r="JD7" s="26"/>
      <c r="JE7" s="26"/>
      <c r="JF7" s="27"/>
      <c r="JG7" s="27"/>
      <c r="JH7" s="26"/>
      <c r="JI7" s="26"/>
      <c r="JJ7" s="26"/>
      <c r="JK7" s="26"/>
      <c r="JL7" s="26"/>
      <c r="JM7" s="27"/>
      <c r="JN7" s="27"/>
      <c r="JO7" s="26"/>
      <c r="JP7" s="26"/>
      <c r="JQ7" s="26"/>
      <c r="JR7" s="26"/>
      <c r="JS7" s="26"/>
      <c r="JT7" s="27"/>
      <c r="JU7" s="27"/>
      <c r="JV7" s="26"/>
      <c r="JW7" s="26"/>
      <c r="JX7" s="26"/>
      <c r="JY7" s="27"/>
      <c r="JZ7" s="26"/>
      <c r="KA7" s="27"/>
      <c r="KB7" s="27"/>
      <c r="KC7" s="26"/>
      <c r="KD7" s="26"/>
      <c r="KE7" s="26"/>
      <c r="KF7" s="27"/>
      <c r="KG7" s="26"/>
      <c r="KH7" s="27"/>
      <c r="KI7" s="27"/>
      <c r="KJ7" s="26"/>
      <c r="KK7" s="26"/>
      <c r="KL7" s="26"/>
      <c r="KM7" s="26"/>
      <c r="KN7" s="26"/>
      <c r="KO7" s="27"/>
      <c r="KP7" s="27"/>
      <c r="KQ7" s="26"/>
      <c r="KR7" s="26"/>
      <c r="KS7" s="26"/>
      <c r="KT7" s="27"/>
      <c r="KU7" s="27"/>
      <c r="KV7" s="27"/>
      <c r="KW7" s="27"/>
      <c r="KX7" s="26"/>
      <c r="KY7" s="26"/>
      <c r="KZ7" s="26"/>
      <c r="LA7" s="26"/>
      <c r="LB7" s="26"/>
      <c r="LC7" s="27"/>
      <c r="LD7" s="27"/>
      <c r="LE7" s="27"/>
      <c r="LF7" s="26"/>
      <c r="LG7" s="26"/>
      <c r="LH7" s="26"/>
      <c r="LI7" s="26"/>
      <c r="LJ7" s="27"/>
      <c r="LK7" s="27"/>
      <c r="LL7" s="26"/>
      <c r="LM7" s="26"/>
      <c r="LN7" s="26"/>
      <c r="LO7" s="26"/>
      <c r="LP7" s="26"/>
      <c r="LQ7" s="27"/>
      <c r="LR7" s="27"/>
      <c r="LS7" s="26"/>
      <c r="LT7" s="26"/>
      <c r="LU7" s="26"/>
      <c r="LV7" s="26"/>
      <c r="LW7" s="26"/>
      <c r="LX7" s="27"/>
      <c r="LY7" s="27"/>
      <c r="LZ7" s="26"/>
      <c r="MA7" s="26"/>
      <c r="MB7" s="26"/>
      <c r="MC7" s="26"/>
      <c r="MD7" s="26"/>
      <c r="ME7" s="27"/>
      <c r="MF7" s="27"/>
      <c r="MG7" s="26"/>
      <c r="MH7" s="26"/>
      <c r="MI7" s="26"/>
      <c r="MJ7" s="26"/>
      <c r="MK7" s="26"/>
      <c r="ML7" s="27"/>
      <c r="MM7" s="26"/>
      <c r="MN7" s="27"/>
      <c r="MO7" s="26"/>
      <c r="MP7" s="26"/>
      <c r="MQ7" s="26"/>
      <c r="MR7" s="26"/>
      <c r="MS7" s="26"/>
      <c r="MT7" s="27"/>
      <c r="MU7" s="27"/>
      <c r="MV7" s="26"/>
      <c r="MW7" s="26"/>
      <c r="MX7" s="26"/>
      <c r="MY7" s="26"/>
      <c r="MZ7" s="26"/>
      <c r="NA7" s="27"/>
      <c r="NB7" s="27"/>
      <c r="NC7" s="26"/>
      <c r="ND7" s="26"/>
      <c r="NE7" s="26"/>
      <c r="NF7" s="26"/>
      <c r="NG7" s="26"/>
      <c r="NH7" s="27"/>
      <c r="NI7" s="27"/>
      <c r="NJ7" s="26"/>
      <c r="NK7" s="26"/>
      <c r="NL7" s="26"/>
      <c r="NM7" s="26"/>
      <c r="NN7" s="26"/>
      <c r="NO7" s="27"/>
      <c r="NP7" s="27"/>
      <c r="NQ7" s="26"/>
      <c r="NR7" s="26"/>
    </row>
    <row r="8" spans="2:382" x14ac:dyDescent="0.4">
      <c r="B8" s="23">
        <v>3</v>
      </c>
      <c r="C8" s="26" t="s">
        <v>83</v>
      </c>
      <c r="D8" s="23" t="s">
        <v>84</v>
      </c>
      <c r="E8" s="26" t="s">
        <v>28</v>
      </c>
      <c r="F8" s="26" t="s">
        <v>40</v>
      </c>
      <c r="G8" s="23" t="s">
        <v>85</v>
      </c>
      <c r="H8" s="23"/>
      <c r="I8" s="25">
        <f t="shared" si="0"/>
        <v>27</v>
      </c>
      <c r="J8" s="25"/>
      <c r="K8" s="26" t="s">
        <v>86</v>
      </c>
      <c r="L8" s="66">
        <v>46070</v>
      </c>
      <c r="M8" s="66" t="s">
        <v>31</v>
      </c>
      <c r="N8" s="29"/>
      <c r="O8" s="26" t="s">
        <v>36</v>
      </c>
      <c r="P8" s="68" t="s">
        <v>1</v>
      </c>
      <c r="Q8" s="26"/>
      <c r="R8" s="26"/>
      <c r="S8" s="27"/>
      <c r="T8" s="27"/>
      <c r="U8" s="27"/>
      <c r="V8" s="26"/>
      <c r="W8" s="26"/>
      <c r="X8" s="26"/>
      <c r="Y8" s="26"/>
      <c r="Z8" s="26"/>
      <c r="AA8" s="27"/>
      <c r="AB8" s="27"/>
      <c r="AC8" s="26"/>
      <c r="AD8" s="27"/>
      <c r="AE8" s="26"/>
      <c r="AF8" s="26"/>
      <c r="AG8" s="26"/>
      <c r="AH8" s="26"/>
      <c r="AI8" s="27"/>
      <c r="AJ8" s="26">
        <v>1</v>
      </c>
      <c r="AK8" s="26">
        <v>1</v>
      </c>
      <c r="AL8" s="26">
        <v>1</v>
      </c>
      <c r="AM8" s="27"/>
      <c r="AN8" s="26"/>
      <c r="AO8" s="27"/>
      <c r="AP8" s="27"/>
      <c r="AQ8" s="26"/>
      <c r="AR8" s="26"/>
      <c r="AS8" s="26"/>
      <c r="AT8" s="26"/>
      <c r="AU8" s="27"/>
      <c r="AV8" s="27"/>
      <c r="AW8" s="27"/>
      <c r="AX8" s="26"/>
      <c r="AY8" s="26"/>
      <c r="AZ8" s="26"/>
      <c r="BA8" s="26"/>
      <c r="BB8" s="26"/>
      <c r="BC8" s="27"/>
      <c r="BD8" s="27"/>
      <c r="BE8" s="26"/>
      <c r="BF8" s="26"/>
      <c r="BG8" s="26"/>
      <c r="BH8" s="26"/>
      <c r="BI8" s="26"/>
      <c r="BJ8" s="27"/>
      <c r="BK8" s="27"/>
      <c r="BL8" s="26"/>
      <c r="BM8" s="26"/>
      <c r="BN8" s="26"/>
      <c r="BO8" s="26"/>
      <c r="BP8" s="26"/>
      <c r="BQ8" s="27"/>
      <c r="BR8" s="27"/>
      <c r="BS8" s="26"/>
      <c r="BT8" s="26"/>
      <c r="BU8" s="26"/>
      <c r="BV8" s="26"/>
      <c r="BW8" s="26"/>
      <c r="BX8" s="27"/>
      <c r="BY8" s="27"/>
      <c r="BZ8" s="27"/>
      <c r="CA8" s="26"/>
      <c r="CB8" s="26"/>
      <c r="CC8" s="26"/>
      <c r="CD8" s="26"/>
      <c r="CE8" s="26"/>
      <c r="CF8" s="27"/>
      <c r="CG8" s="27"/>
      <c r="CH8" s="26"/>
      <c r="CI8" s="26"/>
      <c r="CJ8" s="26"/>
      <c r="CK8" s="26"/>
      <c r="CL8" s="26"/>
      <c r="CM8" s="27"/>
      <c r="CN8" s="27"/>
      <c r="CO8" s="26"/>
      <c r="CP8" s="26"/>
      <c r="CQ8" s="26"/>
      <c r="CR8" s="26"/>
      <c r="CS8" s="26"/>
      <c r="CT8" s="27"/>
      <c r="CU8" s="27"/>
      <c r="CV8" s="26"/>
      <c r="CW8" s="26"/>
      <c r="CX8" s="26"/>
      <c r="CY8" s="26"/>
      <c r="CZ8" s="26"/>
      <c r="DA8" s="27"/>
      <c r="DB8" s="27"/>
      <c r="DC8" s="26"/>
      <c r="DD8" s="26"/>
      <c r="DE8" s="26"/>
      <c r="DF8" s="26"/>
      <c r="DG8" s="26"/>
      <c r="DH8" s="27"/>
      <c r="DI8" s="27"/>
      <c r="DJ8" s="26"/>
      <c r="DK8" s="26"/>
      <c r="DL8" s="26"/>
      <c r="DM8" s="26"/>
      <c r="DN8" s="26"/>
      <c r="DO8" s="27"/>
      <c r="DP8" s="27"/>
      <c r="DQ8" s="26"/>
      <c r="DR8" s="26"/>
      <c r="DS8" s="26"/>
      <c r="DT8" s="26"/>
      <c r="DU8" s="26"/>
      <c r="DV8" s="27"/>
      <c r="DW8" s="27"/>
      <c r="DX8" s="26"/>
      <c r="DY8" s="26"/>
      <c r="DZ8" s="26"/>
      <c r="EA8" s="26"/>
      <c r="EB8" s="26"/>
      <c r="EC8" s="27"/>
      <c r="ED8" s="27"/>
      <c r="EE8" s="26"/>
      <c r="EF8" s="26"/>
      <c r="EG8" s="26"/>
      <c r="EH8" s="26"/>
      <c r="EI8" s="26"/>
      <c r="EJ8" s="27"/>
      <c r="EK8" s="27"/>
      <c r="EL8" s="26"/>
      <c r="EM8" s="26"/>
      <c r="EN8" s="26"/>
      <c r="EO8" s="26"/>
      <c r="EP8" s="26"/>
      <c r="EQ8" s="27"/>
      <c r="ER8" s="27"/>
      <c r="ES8" s="26"/>
      <c r="ET8" s="26"/>
      <c r="EU8" s="26"/>
      <c r="EV8" s="26"/>
      <c r="EW8" s="27"/>
      <c r="EX8" s="27"/>
      <c r="EY8" s="27"/>
      <c r="EZ8" s="26"/>
      <c r="FA8" s="26"/>
      <c r="FB8" s="26"/>
      <c r="FC8" s="26"/>
      <c r="FD8" s="26"/>
      <c r="FE8" s="27"/>
      <c r="FF8" s="27"/>
      <c r="FG8" s="26"/>
      <c r="FH8" s="26"/>
      <c r="FI8" s="26"/>
      <c r="FJ8" s="26"/>
      <c r="FK8" s="26"/>
      <c r="FL8" s="27"/>
      <c r="FM8" s="27"/>
      <c r="FN8" s="26"/>
      <c r="FO8" s="26"/>
      <c r="FP8" s="26"/>
      <c r="FQ8" s="26"/>
      <c r="FR8" s="27"/>
      <c r="FS8" s="27"/>
      <c r="FT8" s="27"/>
      <c r="FU8" s="26"/>
      <c r="FV8" s="26"/>
      <c r="FW8" s="26"/>
      <c r="FX8" s="26"/>
      <c r="FY8" s="26"/>
      <c r="FZ8" s="27"/>
      <c r="GA8" s="27"/>
      <c r="GB8" s="26"/>
      <c r="GC8" s="26"/>
      <c r="GD8" s="26"/>
      <c r="GE8" s="26"/>
      <c r="GF8" s="26"/>
      <c r="GG8" s="27"/>
      <c r="GH8" s="27"/>
      <c r="GI8" s="26"/>
      <c r="GJ8" s="26"/>
      <c r="GK8" s="26"/>
      <c r="GL8" s="26"/>
      <c r="GM8" s="26"/>
      <c r="GN8" s="27"/>
      <c r="GO8" s="27"/>
      <c r="GP8" s="26"/>
      <c r="GQ8" s="26"/>
      <c r="GR8" s="27"/>
      <c r="GS8" s="27"/>
      <c r="GT8" s="26"/>
      <c r="GU8" s="27"/>
      <c r="GV8" s="27"/>
      <c r="GW8" s="26"/>
      <c r="GX8" s="26"/>
      <c r="GY8" s="26"/>
      <c r="GZ8" s="26"/>
      <c r="HA8" s="26"/>
      <c r="HB8" s="27"/>
      <c r="HC8" s="27"/>
      <c r="HD8" s="26"/>
      <c r="HE8" s="28"/>
      <c r="HF8" s="28"/>
      <c r="HG8" s="26"/>
      <c r="HH8" s="26"/>
      <c r="HI8" s="27"/>
      <c r="HJ8" s="27"/>
      <c r="HK8" s="27"/>
      <c r="HL8" s="28"/>
      <c r="HM8" s="28"/>
      <c r="HN8" s="26"/>
      <c r="HO8" s="26"/>
      <c r="HP8" s="27"/>
      <c r="HQ8" s="27"/>
      <c r="HR8" s="26"/>
      <c r="HS8" s="28"/>
      <c r="HT8" s="28"/>
      <c r="HU8" s="26"/>
      <c r="HV8" s="26"/>
      <c r="HW8" s="27"/>
      <c r="HX8" s="27"/>
      <c r="HY8" s="26"/>
      <c r="HZ8" s="26"/>
      <c r="IA8" s="26"/>
      <c r="IB8" s="26"/>
      <c r="IC8" s="26"/>
      <c r="ID8" s="27"/>
      <c r="IE8" s="27"/>
      <c r="IF8" s="26"/>
      <c r="IG8" s="26"/>
      <c r="IH8" s="26"/>
      <c r="II8" s="26"/>
      <c r="IJ8" s="26"/>
      <c r="IK8" s="27"/>
      <c r="IL8" s="27"/>
      <c r="IM8" s="26"/>
      <c r="IN8" s="26"/>
      <c r="IO8" s="26"/>
      <c r="IP8" s="26"/>
      <c r="IQ8" s="26"/>
      <c r="IR8" s="27"/>
      <c r="IS8" s="27"/>
      <c r="IT8" s="26"/>
      <c r="IU8" s="26"/>
      <c r="IV8" s="26"/>
      <c r="IW8" s="26"/>
      <c r="IX8" s="26"/>
      <c r="IY8" s="27"/>
      <c r="IZ8" s="27"/>
      <c r="JA8" s="26"/>
      <c r="JB8" s="26"/>
      <c r="JC8" s="26"/>
      <c r="JD8" s="26"/>
      <c r="JE8" s="26"/>
      <c r="JF8" s="27"/>
      <c r="JG8" s="27"/>
      <c r="JH8" s="26"/>
      <c r="JI8" s="26"/>
      <c r="JJ8" s="26"/>
      <c r="JK8" s="26"/>
      <c r="JL8" s="26"/>
      <c r="JM8" s="27"/>
      <c r="JN8" s="27"/>
      <c r="JO8" s="26"/>
      <c r="JP8" s="26"/>
      <c r="JQ8" s="26"/>
      <c r="JR8" s="26"/>
      <c r="JS8" s="26"/>
      <c r="JT8" s="27"/>
      <c r="JU8" s="27"/>
      <c r="JV8" s="26"/>
      <c r="JW8" s="26"/>
      <c r="JX8" s="26"/>
      <c r="JY8" s="27"/>
      <c r="JZ8" s="26"/>
      <c r="KA8" s="27"/>
      <c r="KB8" s="27"/>
      <c r="KC8" s="26"/>
      <c r="KD8" s="26"/>
      <c r="KE8" s="26"/>
      <c r="KF8" s="27"/>
      <c r="KG8" s="26"/>
      <c r="KH8" s="27"/>
      <c r="KI8" s="27"/>
      <c r="KJ8" s="26"/>
      <c r="KK8" s="26"/>
      <c r="KL8" s="26"/>
      <c r="KM8" s="26"/>
      <c r="KN8" s="26"/>
      <c r="KO8" s="27"/>
      <c r="KP8" s="27"/>
      <c r="KQ8" s="26"/>
      <c r="KR8" s="26"/>
      <c r="KS8" s="26"/>
      <c r="KT8" s="27"/>
      <c r="KU8" s="27"/>
      <c r="KV8" s="27"/>
      <c r="KW8" s="27"/>
      <c r="KX8" s="26"/>
      <c r="KY8" s="26"/>
      <c r="KZ8" s="26"/>
      <c r="LA8" s="26"/>
      <c r="LB8" s="26"/>
      <c r="LC8" s="27"/>
      <c r="LD8" s="27"/>
      <c r="LE8" s="27"/>
      <c r="LF8" s="26"/>
      <c r="LG8" s="26"/>
      <c r="LH8" s="26"/>
      <c r="LI8" s="26"/>
      <c r="LJ8" s="27"/>
      <c r="LK8" s="27"/>
      <c r="LL8" s="26"/>
      <c r="LM8" s="26"/>
      <c r="LN8" s="26"/>
      <c r="LO8" s="26"/>
      <c r="LP8" s="26"/>
      <c r="LQ8" s="27"/>
      <c r="LR8" s="27"/>
      <c r="LS8" s="26"/>
      <c r="LT8" s="26"/>
      <c r="LU8" s="26"/>
      <c r="LV8" s="26"/>
      <c r="LW8" s="26"/>
      <c r="LX8" s="27"/>
      <c r="LY8" s="27"/>
      <c r="LZ8" s="26"/>
      <c r="MA8" s="26"/>
      <c r="MB8" s="26"/>
      <c r="MC8" s="26"/>
      <c r="MD8" s="26"/>
      <c r="ME8" s="27"/>
      <c r="MF8" s="27"/>
      <c r="MG8" s="26"/>
      <c r="MH8" s="26"/>
      <c r="MI8" s="26"/>
      <c r="MJ8" s="26"/>
      <c r="MK8" s="26"/>
      <c r="ML8" s="27"/>
      <c r="MM8" s="26"/>
      <c r="MN8" s="27"/>
      <c r="MO8" s="26"/>
      <c r="MP8" s="26"/>
      <c r="MQ8" s="26"/>
      <c r="MR8" s="26"/>
      <c r="MS8" s="26"/>
      <c r="MT8" s="27"/>
      <c r="MU8" s="27"/>
      <c r="MV8" s="26"/>
      <c r="MW8" s="26"/>
      <c r="MX8" s="26"/>
      <c r="MY8" s="26"/>
      <c r="MZ8" s="26"/>
      <c r="NA8" s="27"/>
      <c r="NB8" s="27"/>
      <c r="NC8" s="26"/>
      <c r="ND8" s="26"/>
      <c r="NE8" s="26"/>
      <c r="NF8" s="26"/>
      <c r="NG8" s="26"/>
      <c r="NH8" s="27"/>
      <c r="NI8" s="27"/>
      <c r="NJ8" s="26"/>
      <c r="NK8" s="26"/>
      <c r="NL8" s="26"/>
      <c r="NM8" s="26"/>
      <c r="NN8" s="26"/>
      <c r="NO8" s="27"/>
      <c r="NP8" s="27"/>
      <c r="NQ8" s="26"/>
      <c r="NR8" s="26"/>
    </row>
    <row r="9" spans="2:382" x14ac:dyDescent="0.4">
      <c r="B9" s="23">
        <v>4</v>
      </c>
      <c r="C9" s="26" t="s">
        <v>94</v>
      </c>
      <c r="D9" s="23" t="s">
        <v>95</v>
      </c>
      <c r="E9" s="26" t="s">
        <v>28</v>
      </c>
      <c r="F9" s="26" t="s">
        <v>40</v>
      </c>
      <c r="G9" s="23" t="s">
        <v>68</v>
      </c>
      <c r="H9" s="23">
        <v>65</v>
      </c>
      <c r="I9" s="25">
        <f t="shared" si="0"/>
        <v>31.5</v>
      </c>
      <c r="J9" s="25"/>
      <c r="K9" s="26" t="s">
        <v>33</v>
      </c>
      <c r="L9" s="66">
        <v>46098</v>
      </c>
      <c r="M9" s="66">
        <v>46112</v>
      </c>
      <c r="N9" s="29"/>
      <c r="O9" s="26" t="s">
        <v>34</v>
      </c>
      <c r="P9" s="68" t="s">
        <v>1</v>
      </c>
      <c r="Q9" s="26">
        <v>1</v>
      </c>
      <c r="R9" s="26">
        <v>1</v>
      </c>
      <c r="S9" s="27"/>
      <c r="T9" s="27"/>
      <c r="U9" s="27"/>
      <c r="V9" s="26">
        <v>0.5</v>
      </c>
      <c r="W9" s="26">
        <v>0.5</v>
      </c>
      <c r="X9" s="26">
        <v>0.5</v>
      </c>
      <c r="Y9" s="26"/>
      <c r="Z9" s="26"/>
      <c r="AA9" s="27"/>
      <c r="AB9" s="27"/>
      <c r="AC9" s="26"/>
      <c r="AD9" s="27"/>
      <c r="AE9" s="26"/>
      <c r="AF9" s="26"/>
      <c r="AG9" s="26"/>
      <c r="AH9" s="26"/>
      <c r="AI9" s="27"/>
      <c r="AJ9" s="26"/>
      <c r="AK9" s="26"/>
      <c r="AL9" s="26"/>
      <c r="AM9" s="27"/>
      <c r="AN9" s="26"/>
      <c r="AO9" s="27"/>
      <c r="AP9" s="27"/>
      <c r="AQ9" s="26"/>
      <c r="AR9" s="26"/>
      <c r="AS9" s="26"/>
      <c r="AT9" s="26"/>
      <c r="AU9" s="27"/>
      <c r="AV9" s="27"/>
      <c r="AW9" s="27"/>
      <c r="AX9" s="26"/>
      <c r="AY9" s="26"/>
      <c r="AZ9" s="26"/>
      <c r="BA9" s="26"/>
      <c r="BB9" s="26"/>
      <c r="BC9" s="27"/>
      <c r="BD9" s="27"/>
      <c r="BE9" s="26"/>
      <c r="BF9" s="26"/>
      <c r="BG9" s="26"/>
      <c r="BH9" s="26"/>
      <c r="BI9" s="26"/>
      <c r="BJ9" s="27"/>
      <c r="BK9" s="27"/>
      <c r="BL9" s="26"/>
      <c r="BM9" s="26"/>
      <c r="BN9" s="26"/>
      <c r="BO9" s="26"/>
      <c r="BP9" s="26"/>
      <c r="BQ9" s="27"/>
      <c r="BR9" s="27"/>
      <c r="BS9" s="26"/>
      <c r="BT9" s="26"/>
      <c r="BU9" s="26"/>
      <c r="BV9" s="26"/>
      <c r="BW9" s="26"/>
      <c r="BX9" s="27"/>
      <c r="BY9" s="27"/>
      <c r="BZ9" s="27"/>
      <c r="CA9" s="26"/>
      <c r="CB9" s="26"/>
      <c r="CC9" s="26"/>
      <c r="CD9" s="26"/>
      <c r="CE9" s="26"/>
      <c r="CF9" s="27"/>
      <c r="CG9" s="27"/>
      <c r="CH9" s="26"/>
      <c r="CI9" s="26"/>
      <c r="CJ9" s="26"/>
      <c r="CK9" s="26"/>
      <c r="CL9" s="26"/>
      <c r="CM9" s="27"/>
      <c r="CN9" s="27"/>
      <c r="CO9" s="26"/>
      <c r="CP9" s="26"/>
      <c r="CQ9" s="26"/>
      <c r="CR9" s="26"/>
      <c r="CS9" s="26"/>
      <c r="CT9" s="27"/>
      <c r="CU9" s="27"/>
      <c r="CV9" s="26"/>
      <c r="CW9" s="26"/>
      <c r="CX9" s="26"/>
      <c r="CY9" s="26"/>
      <c r="CZ9" s="26"/>
      <c r="DA9" s="27"/>
      <c r="DB9" s="27"/>
      <c r="DC9" s="26"/>
      <c r="DD9" s="26"/>
      <c r="DE9" s="26"/>
      <c r="DF9" s="26"/>
      <c r="DG9" s="26"/>
      <c r="DH9" s="27"/>
      <c r="DI9" s="27"/>
      <c r="DJ9" s="26"/>
      <c r="DK9" s="26"/>
      <c r="DL9" s="26"/>
      <c r="DM9" s="26"/>
      <c r="DN9" s="26"/>
      <c r="DO9" s="27"/>
      <c r="DP9" s="27"/>
      <c r="DQ9" s="26"/>
      <c r="DR9" s="26"/>
      <c r="DS9" s="26"/>
      <c r="DT9" s="26"/>
      <c r="DU9" s="26"/>
      <c r="DV9" s="27"/>
      <c r="DW9" s="27"/>
      <c r="DX9" s="26"/>
      <c r="DY9" s="26"/>
      <c r="DZ9" s="26"/>
      <c r="EA9" s="26"/>
      <c r="EB9" s="26"/>
      <c r="EC9" s="27"/>
      <c r="ED9" s="27"/>
      <c r="EE9" s="26"/>
      <c r="EF9" s="26"/>
      <c r="EG9" s="26"/>
      <c r="EH9" s="26"/>
      <c r="EI9" s="26"/>
      <c r="EJ9" s="27"/>
      <c r="EK9" s="27"/>
      <c r="EL9" s="26"/>
      <c r="EM9" s="26"/>
      <c r="EN9" s="26"/>
      <c r="EO9" s="26"/>
      <c r="EP9" s="26"/>
      <c r="EQ9" s="27"/>
      <c r="ER9" s="27"/>
      <c r="ES9" s="26"/>
      <c r="ET9" s="26"/>
      <c r="EU9" s="26"/>
      <c r="EV9" s="26"/>
      <c r="EW9" s="27"/>
      <c r="EX9" s="27"/>
      <c r="EY9" s="27"/>
      <c r="EZ9" s="26"/>
      <c r="FA9" s="26"/>
      <c r="FB9" s="26"/>
      <c r="FC9" s="26"/>
      <c r="FD9" s="26"/>
      <c r="FE9" s="27"/>
      <c r="FF9" s="27"/>
      <c r="FG9" s="26"/>
      <c r="FH9" s="26"/>
      <c r="FI9" s="26"/>
      <c r="FJ9" s="26"/>
      <c r="FK9" s="26"/>
      <c r="FL9" s="27"/>
      <c r="FM9" s="27"/>
      <c r="FN9" s="26"/>
      <c r="FO9" s="26"/>
      <c r="FP9" s="26"/>
      <c r="FQ9" s="26"/>
      <c r="FR9" s="27"/>
      <c r="FS9" s="27"/>
      <c r="FT9" s="27"/>
      <c r="FU9" s="26"/>
      <c r="FV9" s="26"/>
      <c r="FW9" s="26"/>
      <c r="FX9" s="26"/>
      <c r="FY9" s="26"/>
      <c r="FZ9" s="27"/>
      <c r="GA9" s="27"/>
      <c r="GB9" s="26"/>
      <c r="GC9" s="26"/>
      <c r="GD9" s="26"/>
      <c r="GE9" s="26"/>
      <c r="GF9" s="26"/>
      <c r="GG9" s="27"/>
      <c r="GH9" s="27"/>
      <c r="GI9" s="26"/>
      <c r="GJ9" s="26"/>
      <c r="GK9" s="26"/>
      <c r="GL9" s="26"/>
      <c r="GM9" s="26"/>
      <c r="GN9" s="27"/>
      <c r="GO9" s="27"/>
      <c r="GP9" s="26"/>
      <c r="GQ9" s="26"/>
      <c r="GR9" s="27"/>
      <c r="GS9" s="27"/>
      <c r="GT9" s="26"/>
      <c r="GU9" s="27"/>
      <c r="GV9" s="27"/>
      <c r="GW9" s="26"/>
      <c r="GX9" s="26"/>
      <c r="GY9" s="26"/>
      <c r="GZ9" s="26"/>
      <c r="HA9" s="26"/>
      <c r="HB9" s="27"/>
      <c r="HC9" s="27"/>
      <c r="HD9" s="26"/>
      <c r="HE9" s="28"/>
      <c r="HF9" s="28"/>
      <c r="HG9" s="26"/>
      <c r="HH9" s="26"/>
      <c r="HI9" s="27"/>
      <c r="HJ9" s="27"/>
      <c r="HK9" s="27"/>
      <c r="HL9" s="28"/>
      <c r="HM9" s="28"/>
      <c r="HN9" s="26"/>
      <c r="HO9" s="26"/>
      <c r="HP9" s="27"/>
      <c r="HQ9" s="27"/>
      <c r="HR9" s="26"/>
      <c r="HS9" s="28"/>
      <c r="HT9" s="28"/>
      <c r="HU9" s="26"/>
      <c r="HV9" s="26"/>
      <c r="HW9" s="27"/>
      <c r="HX9" s="27"/>
      <c r="HY9" s="26"/>
      <c r="HZ9" s="26"/>
      <c r="IA9" s="26"/>
      <c r="IB9" s="26"/>
      <c r="IC9" s="26"/>
      <c r="ID9" s="27"/>
      <c r="IE9" s="27"/>
      <c r="IF9" s="26"/>
      <c r="IG9" s="26"/>
      <c r="IH9" s="26"/>
      <c r="II9" s="26"/>
      <c r="IJ9" s="26"/>
      <c r="IK9" s="27"/>
      <c r="IL9" s="27"/>
      <c r="IM9" s="26"/>
      <c r="IN9" s="26"/>
      <c r="IO9" s="26"/>
      <c r="IP9" s="26"/>
      <c r="IQ9" s="26"/>
      <c r="IR9" s="27"/>
      <c r="IS9" s="27"/>
      <c r="IT9" s="26"/>
      <c r="IU9" s="26"/>
      <c r="IV9" s="26"/>
      <c r="IW9" s="26"/>
      <c r="IX9" s="26"/>
      <c r="IY9" s="27"/>
      <c r="IZ9" s="27"/>
      <c r="JA9" s="26"/>
      <c r="JB9" s="26"/>
      <c r="JC9" s="26"/>
      <c r="JD9" s="26"/>
      <c r="JE9" s="26"/>
      <c r="JF9" s="27"/>
      <c r="JG9" s="27"/>
      <c r="JH9" s="26"/>
      <c r="JI9" s="26"/>
      <c r="JJ9" s="26"/>
      <c r="JK9" s="26"/>
      <c r="JL9" s="26"/>
      <c r="JM9" s="27"/>
      <c r="JN9" s="27"/>
      <c r="JO9" s="26"/>
      <c r="JP9" s="26"/>
      <c r="JQ9" s="26"/>
      <c r="JR9" s="26"/>
      <c r="JS9" s="26"/>
      <c r="JT9" s="27"/>
      <c r="JU9" s="27"/>
      <c r="JV9" s="26"/>
      <c r="JW9" s="26"/>
      <c r="JX9" s="26"/>
      <c r="JY9" s="27"/>
      <c r="JZ9" s="26"/>
      <c r="KA9" s="27"/>
      <c r="KB9" s="27"/>
      <c r="KC9" s="26"/>
      <c r="KD9" s="26"/>
      <c r="KE9" s="26"/>
      <c r="KF9" s="27"/>
      <c r="KG9" s="26"/>
      <c r="KH9" s="27"/>
      <c r="KI9" s="27"/>
      <c r="KJ9" s="26"/>
      <c r="KK9" s="26"/>
      <c r="KL9" s="26"/>
      <c r="KM9" s="26"/>
      <c r="KN9" s="26"/>
      <c r="KO9" s="27"/>
      <c r="KP9" s="27"/>
      <c r="KQ9" s="26"/>
      <c r="KR9" s="26"/>
      <c r="KS9" s="26"/>
      <c r="KT9" s="27"/>
      <c r="KU9" s="27"/>
      <c r="KV9" s="27"/>
      <c r="KW9" s="27"/>
      <c r="KX9" s="26"/>
      <c r="KY9" s="26"/>
      <c r="KZ9" s="26"/>
      <c r="LA9" s="26"/>
      <c r="LB9" s="26"/>
      <c r="LC9" s="27"/>
      <c r="LD9" s="27"/>
      <c r="LE9" s="27"/>
      <c r="LF9" s="26"/>
      <c r="LG9" s="26"/>
      <c r="LH9" s="26"/>
      <c r="LI9" s="26"/>
      <c r="LJ9" s="27"/>
      <c r="LK9" s="27"/>
      <c r="LL9" s="26"/>
      <c r="LM9" s="26"/>
      <c r="LN9" s="26"/>
      <c r="LO9" s="26"/>
      <c r="LP9" s="26"/>
      <c r="LQ9" s="27"/>
      <c r="LR9" s="27"/>
      <c r="LS9" s="26"/>
      <c r="LT9" s="26"/>
      <c r="LU9" s="26"/>
      <c r="LV9" s="26"/>
      <c r="LW9" s="26"/>
      <c r="LX9" s="27"/>
      <c r="LY9" s="27"/>
      <c r="LZ9" s="26"/>
      <c r="MA9" s="26"/>
      <c r="MB9" s="26"/>
      <c r="MC9" s="26"/>
      <c r="MD9" s="26"/>
      <c r="ME9" s="27"/>
      <c r="MF9" s="27"/>
      <c r="MG9" s="26"/>
      <c r="MH9" s="26"/>
      <c r="MI9" s="26"/>
      <c r="MJ9" s="26"/>
      <c r="MK9" s="26"/>
      <c r="ML9" s="27"/>
      <c r="MM9" s="26"/>
      <c r="MN9" s="27"/>
      <c r="MO9" s="26"/>
      <c r="MP9" s="26"/>
      <c r="MQ9" s="26"/>
      <c r="MR9" s="26"/>
      <c r="MS9" s="26"/>
      <c r="MT9" s="27"/>
      <c r="MU9" s="27"/>
      <c r="MV9" s="26"/>
      <c r="MW9" s="26"/>
      <c r="MX9" s="26"/>
      <c r="MY9" s="26"/>
      <c r="MZ9" s="26"/>
      <c r="NA9" s="27"/>
      <c r="NB9" s="27"/>
      <c r="NC9" s="26"/>
      <c r="ND9" s="26"/>
      <c r="NE9" s="26"/>
      <c r="NF9" s="26"/>
      <c r="NG9" s="26"/>
      <c r="NH9" s="27"/>
      <c r="NI9" s="27"/>
      <c r="NJ9" s="26"/>
      <c r="NK9" s="26"/>
      <c r="NL9" s="26"/>
      <c r="NM9" s="26"/>
      <c r="NN9" s="26"/>
      <c r="NO9" s="27"/>
      <c r="NP9" s="27"/>
      <c r="NQ9" s="26"/>
      <c r="NR9" s="26"/>
    </row>
    <row r="10" spans="2:382" x14ac:dyDescent="0.4">
      <c r="B10" s="23">
        <v>5</v>
      </c>
      <c r="C10" s="26" t="s">
        <v>98</v>
      </c>
      <c r="D10" s="23" t="s">
        <v>96</v>
      </c>
      <c r="E10" s="26" t="s">
        <v>32</v>
      </c>
      <c r="F10" s="26" t="s">
        <v>40</v>
      </c>
      <c r="G10" s="23" t="s">
        <v>97</v>
      </c>
      <c r="H10" s="23">
        <v>490</v>
      </c>
      <c r="I10" s="25">
        <f t="shared" si="0"/>
        <v>432.45</v>
      </c>
      <c r="J10" s="25"/>
      <c r="K10" s="26" t="s">
        <v>33</v>
      </c>
      <c r="L10" s="66"/>
      <c r="M10" s="66"/>
      <c r="N10" s="29" t="s">
        <v>106</v>
      </c>
      <c r="O10" s="26" t="s">
        <v>36</v>
      </c>
      <c r="P10" s="73" t="s">
        <v>11</v>
      </c>
      <c r="Q10" s="26"/>
      <c r="R10" s="26"/>
      <c r="S10" s="27"/>
      <c r="T10" s="27"/>
      <c r="U10" s="27"/>
      <c r="V10" s="26">
        <v>1.5</v>
      </c>
      <c r="W10" s="26">
        <v>1.5</v>
      </c>
      <c r="X10" s="26">
        <v>1.5</v>
      </c>
      <c r="Y10" s="26">
        <v>1.5</v>
      </c>
      <c r="Z10" s="26">
        <v>1.5</v>
      </c>
      <c r="AA10" s="27"/>
      <c r="AB10" s="27"/>
      <c r="AC10" s="26">
        <v>1.5</v>
      </c>
      <c r="AD10" s="27"/>
      <c r="AE10" s="26">
        <v>1.5</v>
      </c>
      <c r="AF10" s="26">
        <v>1.5</v>
      </c>
      <c r="AG10" s="26">
        <v>1.5</v>
      </c>
      <c r="AH10" s="26">
        <v>1.5</v>
      </c>
      <c r="AI10" s="27"/>
      <c r="AJ10" s="26">
        <v>1.5</v>
      </c>
      <c r="AK10" s="26">
        <v>1.5</v>
      </c>
      <c r="AL10" s="26">
        <v>1.5</v>
      </c>
      <c r="AM10" s="27"/>
      <c r="AN10" s="26">
        <v>0.75</v>
      </c>
      <c r="AO10" s="27"/>
      <c r="AP10" s="27"/>
      <c r="AQ10" s="26">
        <v>1.5</v>
      </c>
      <c r="AR10" s="26">
        <v>1.5</v>
      </c>
      <c r="AS10" s="26">
        <v>1.5</v>
      </c>
      <c r="AT10" s="26">
        <v>1.5</v>
      </c>
      <c r="AU10" s="27"/>
      <c r="AV10" s="27"/>
      <c r="AW10" s="27"/>
      <c r="AX10" s="26">
        <v>1.5</v>
      </c>
      <c r="AY10" s="26">
        <v>1.5</v>
      </c>
      <c r="AZ10" s="26">
        <v>1.5</v>
      </c>
      <c r="BA10" s="26">
        <v>1.5</v>
      </c>
      <c r="BB10" s="26">
        <v>1.5</v>
      </c>
      <c r="BC10" s="27"/>
      <c r="BD10" s="27"/>
      <c r="BE10" s="26">
        <v>0.8</v>
      </c>
      <c r="BF10" s="26">
        <v>1.5</v>
      </c>
      <c r="BG10" s="26">
        <v>1.5</v>
      </c>
      <c r="BH10" s="26">
        <v>1.5</v>
      </c>
      <c r="BI10" s="26">
        <v>1.5</v>
      </c>
      <c r="BJ10" s="27"/>
      <c r="BK10" s="27"/>
      <c r="BL10" s="26">
        <v>1.5</v>
      </c>
      <c r="BM10" s="26">
        <v>1.5</v>
      </c>
      <c r="BN10" s="26">
        <v>1.5</v>
      </c>
      <c r="BO10" s="26">
        <v>1.5</v>
      </c>
      <c r="BP10" s="26">
        <v>1.5</v>
      </c>
      <c r="BQ10" s="27"/>
      <c r="BR10" s="27"/>
      <c r="BS10" s="26"/>
      <c r="BT10" s="26"/>
      <c r="BU10" s="26"/>
      <c r="BV10" s="26"/>
      <c r="BW10" s="26"/>
      <c r="BX10" s="27"/>
      <c r="BY10" s="27"/>
      <c r="BZ10" s="27"/>
      <c r="CA10" s="26"/>
      <c r="CB10" s="26"/>
      <c r="CC10" s="26"/>
      <c r="CD10" s="26"/>
      <c r="CE10" s="26"/>
      <c r="CF10" s="27"/>
      <c r="CG10" s="27"/>
      <c r="CH10" s="26"/>
      <c r="CI10" s="26"/>
      <c r="CJ10" s="26"/>
      <c r="CK10" s="26"/>
      <c r="CL10" s="26"/>
      <c r="CM10" s="27"/>
      <c r="CN10" s="27"/>
      <c r="CO10" s="26"/>
      <c r="CP10" s="26"/>
      <c r="CQ10" s="26"/>
      <c r="CR10" s="26"/>
      <c r="CS10" s="26"/>
      <c r="CT10" s="27"/>
      <c r="CU10" s="27"/>
      <c r="CV10" s="26"/>
      <c r="CW10" s="26"/>
      <c r="CX10" s="26"/>
      <c r="CY10" s="26"/>
      <c r="CZ10" s="26"/>
      <c r="DA10" s="27"/>
      <c r="DB10" s="27"/>
      <c r="DC10" s="26"/>
      <c r="DD10" s="26"/>
      <c r="DE10" s="26"/>
      <c r="DF10" s="26"/>
      <c r="DG10" s="26"/>
      <c r="DH10" s="27"/>
      <c r="DI10" s="27"/>
      <c r="DJ10" s="26"/>
      <c r="DK10" s="26"/>
      <c r="DL10" s="26"/>
      <c r="DM10" s="26"/>
      <c r="DN10" s="26"/>
      <c r="DO10" s="27"/>
      <c r="DP10" s="27"/>
      <c r="DQ10" s="26"/>
      <c r="DR10" s="26"/>
      <c r="DS10" s="26"/>
      <c r="DT10" s="26"/>
      <c r="DU10" s="26"/>
      <c r="DV10" s="27"/>
      <c r="DW10" s="27"/>
      <c r="DX10" s="26"/>
      <c r="DY10" s="26"/>
      <c r="DZ10" s="26"/>
      <c r="EA10" s="26"/>
      <c r="EB10" s="26"/>
      <c r="EC10" s="27"/>
      <c r="ED10" s="27"/>
      <c r="EE10" s="26"/>
      <c r="EF10" s="26"/>
      <c r="EG10" s="26"/>
      <c r="EH10" s="26"/>
      <c r="EI10" s="26"/>
      <c r="EJ10" s="27"/>
      <c r="EK10" s="27"/>
      <c r="EL10" s="26"/>
      <c r="EM10" s="26"/>
      <c r="EN10" s="26"/>
      <c r="EO10" s="26"/>
      <c r="EP10" s="26"/>
      <c r="EQ10" s="27"/>
      <c r="ER10" s="27"/>
      <c r="ES10" s="26"/>
      <c r="ET10" s="26"/>
      <c r="EU10" s="26"/>
      <c r="EV10" s="26"/>
      <c r="EW10" s="27"/>
      <c r="EX10" s="27"/>
      <c r="EY10" s="27"/>
      <c r="EZ10" s="26"/>
      <c r="FA10" s="26"/>
      <c r="FB10" s="26"/>
      <c r="FC10" s="26"/>
      <c r="FD10" s="26"/>
      <c r="FE10" s="27"/>
      <c r="FF10" s="27"/>
      <c r="FG10" s="26"/>
      <c r="FH10" s="26"/>
      <c r="FI10" s="26"/>
      <c r="FJ10" s="26"/>
      <c r="FK10" s="26"/>
      <c r="FL10" s="27"/>
      <c r="FM10" s="27"/>
      <c r="FN10" s="26"/>
      <c r="FO10" s="26"/>
      <c r="FP10" s="26"/>
      <c r="FQ10" s="26"/>
      <c r="FR10" s="27"/>
      <c r="FS10" s="27"/>
      <c r="FT10" s="27"/>
      <c r="FU10" s="26"/>
      <c r="FV10" s="26"/>
      <c r="FW10" s="26"/>
      <c r="FX10" s="26"/>
      <c r="FY10" s="26"/>
      <c r="FZ10" s="27"/>
      <c r="GA10" s="27"/>
      <c r="GB10" s="26"/>
      <c r="GC10" s="26"/>
      <c r="GD10" s="26"/>
      <c r="GE10" s="26"/>
      <c r="GF10" s="26"/>
      <c r="GG10" s="27"/>
      <c r="GH10" s="27"/>
      <c r="GI10" s="26"/>
      <c r="GJ10" s="26"/>
      <c r="GK10" s="26"/>
      <c r="GL10" s="26"/>
      <c r="GM10" s="26"/>
      <c r="GN10" s="27"/>
      <c r="GO10" s="27"/>
      <c r="GP10" s="26"/>
      <c r="GQ10" s="26"/>
      <c r="GR10" s="27"/>
      <c r="GS10" s="27"/>
      <c r="GT10" s="26"/>
      <c r="GU10" s="27"/>
      <c r="GV10" s="27"/>
      <c r="GW10" s="26"/>
      <c r="GX10" s="26"/>
      <c r="GY10" s="26"/>
      <c r="GZ10" s="26"/>
      <c r="HA10" s="26"/>
      <c r="HB10" s="27"/>
      <c r="HC10" s="27"/>
      <c r="HD10" s="26"/>
      <c r="HE10" s="28"/>
      <c r="HF10" s="28"/>
      <c r="HG10" s="26"/>
      <c r="HH10" s="26"/>
      <c r="HI10" s="27"/>
      <c r="HJ10" s="27"/>
      <c r="HK10" s="27"/>
      <c r="HL10" s="28"/>
      <c r="HM10" s="28"/>
      <c r="HN10" s="26"/>
      <c r="HO10" s="26"/>
      <c r="HP10" s="27"/>
      <c r="HQ10" s="27"/>
      <c r="HR10" s="26"/>
      <c r="HS10" s="28"/>
      <c r="HT10" s="28"/>
      <c r="HU10" s="26"/>
      <c r="HV10" s="26"/>
      <c r="HW10" s="27"/>
      <c r="HX10" s="27"/>
      <c r="HY10" s="26"/>
      <c r="HZ10" s="26"/>
      <c r="IA10" s="26"/>
      <c r="IB10" s="26"/>
      <c r="IC10" s="26"/>
      <c r="ID10" s="27"/>
      <c r="IE10" s="27"/>
      <c r="IF10" s="26"/>
      <c r="IG10" s="26"/>
      <c r="IH10" s="26"/>
      <c r="II10" s="26"/>
      <c r="IJ10" s="26"/>
      <c r="IK10" s="27"/>
      <c r="IL10" s="27"/>
      <c r="IM10" s="26"/>
      <c r="IN10" s="26"/>
      <c r="IO10" s="26"/>
      <c r="IP10" s="26"/>
      <c r="IQ10" s="26"/>
      <c r="IR10" s="27"/>
      <c r="IS10" s="27"/>
      <c r="IT10" s="26"/>
      <c r="IU10" s="26"/>
      <c r="IV10" s="26"/>
      <c r="IW10" s="26"/>
      <c r="IX10" s="26"/>
      <c r="IY10" s="27"/>
      <c r="IZ10" s="27"/>
      <c r="JA10" s="26"/>
      <c r="JB10" s="26"/>
      <c r="JC10" s="26"/>
      <c r="JD10" s="26"/>
      <c r="JE10" s="26"/>
      <c r="JF10" s="27"/>
      <c r="JG10" s="27"/>
      <c r="JH10" s="26"/>
      <c r="JI10" s="26"/>
      <c r="JJ10" s="26"/>
      <c r="JK10" s="26"/>
      <c r="JL10" s="26"/>
      <c r="JM10" s="27"/>
      <c r="JN10" s="27"/>
      <c r="JO10" s="26"/>
      <c r="JP10" s="26"/>
      <c r="JQ10" s="26"/>
      <c r="JR10" s="26"/>
      <c r="JS10" s="26"/>
      <c r="JT10" s="27"/>
      <c r="JU10" s="27"/>
      <c r="JV10" s="26"/>
      <c r="JW10" s="26"/>
      <c r="JX10" s="26"/>
      <c r="JY10" s="27"/>
      <c r="JZ10" s="26"/>
      <c r="KA10" s="27"/>
      <c r="KB10" s="27"/>
      <c r="KC10" s="26"/>
      <c r="KD10" s="26"/>
      <c r="KE10" s="26"/>
      <c r="KF10" s="27"/>
      <c r="KG10" s="26"/>
      <c r="KH10" s="27"/>
      <c r="KI10" s="27"/>
      <c r="KJ10" s="26"/>
      <c r="KK10" s="26"/>
      <c r="KL10" s="26"/>
      <c r="KM10" s="26"/>
      <c r="KN10" s="26"/>
      <c r="KO10" s="27"/>
      <c r="KP10" s="27"/>
      <c r="KQ10" s="26"/>
      <c r="KR10" s="26"/>
      <c r="KS10" s="26"/>
      <c r="KT10" s="27"/>
      <c r="KU10" s="27"/>
      <c r="KV10" s="27"/>
      <c r="KW10" s="27"/>
      <c r="KX10" s="26"/>
      <c r="KY10" s="26"/>
      <c r="KZ10" s="26"/>
      <c r="LA10" s="26"/>
      <c r="LB10" s="26"/>
      <c r="LC10" s="27"/>
      <c r="LD10" s="27"/>
      <c r="LE10" s="27"/>
      <c r="LF10" s="26"/>
      <c r="LG10" s="26"/>
      <c r="LH10" s="26"/>
      <c r="LI10" s="26"/>
      <c r="LJ10" s="27"/>
      <c r="LK10" s="27"/>
      <c r="LL10" s="26"/>
      <c r="LM10" s="26"/>
      <c r="LN10" s="26"/>
      <c r="LO10" s="26"/>
      <c r="LP10" s="26"/>
      <c r="LQ10" s="27"/>
      <c r="LR10" s="27"/>
      <c r="LS10" s="26"/>
      <c r="LT10" s="26"/>
      <c r="LU10" s="26"/>
      <c r="LV10" s="26"/>
      <c r="LW10" s="26"/>
      <c r="LX10" s="27"/>
      <c r="LY10" s="27"/>
      <c r="LZ10" s="26"/>
      <c r="MA10" s="26"/>
      <c r="MB10" s="26"/>
      <c r="MC10" s="26"/>
      <c r="MD10" s="26"/>
      <c r="ME10" s="27"/>
      <c r="MF10" s="27"/>
      <c r="MG10" s="26"/>
      <c r="MH10" s="26"/>
      <c r="MI10" s="26"/>
      <c r="MJ10" s="26"/>
      <c r="MK10" s="26"/>
      <c r="ML10" s="27"/>
      <c r="MM10" s="26"/>
      <c r="MN10" s="27"/>
      <c r="MO10" s="26"/>
      <c r="MP10" s="26"/>
      <c r="MQ10" s="26"/>
      <c r="MR10" s="26"/>
      <c r="MS10" s="26"/>
      <c r="MT10" s="27"/>
      <c r="MU10" s="27"/>
      <c r="MV10" s="26"/>
      <c r="MW10" s="26"/>
      <c r="MX10" s="26"/>
      <c r="MY10" s="26"/>
      <c r="MZ10" s="26"/>
      <c r="NA10" s="27"/>
      <c r="NB10" s="27"/>
      <c r="NC10" s="26"/>
      <c r="ND10" s="26"/>
      <c r="NE10" s="26"/>
      <c r="NF10" s="26"/>
      <c r="NG10" s="26"/>
      <c r="NH10" s="27"/>
      <c r="NI10" s="27"/>
      <c r="NJ10" s="26"/>
      <c r="NK10" s="26"/>
      <c r="NL10" s="26"/>
      <c r="NM10" s="26"/>
      <c r="NN10" s="26"/>
      <c r="NO10" s="27"/>
      <c r="NP10" s="27"/>
      <c r="NQ10" s="26"/>
      <c r="NR10" s="26"/>
    </row>
    <row r="11" spans="2:382" x14ac:dyDescent="0.4">
      <c r="B11" s="23">
        <v>6</v>
      </c>
      <c r="C11" s="26" t="s">
        <v>101</v>
      </c>
      <c r="D11" s="23" t="s">
        <v>104</v>
      </c>
      <c r="E11" s="26" t="s">
        <v>28</v>
      </c>
      <c r="F11" s="26" t="s">
        <v>40</v>
      </c>
      <c r="G11" s="23" t="s">
        <v>99</v>
      </c>
      <c r="H11" s="69">
        <v>520</v>
      </c>
      <c r="I11" s="70">
        <f>SUM(Q11:NR11)*9</f>
        <v>192.59999999999997</v>
      </c>
      <c r="J11" s="70"/>
      <c r="K11" s="29" t="s">
        <v>100</v>
      </c>
      <c r="L11" s="71">
        <v>46119</v>
      </c>
      <c r="M11" s="71">
        <v>46129</v>
      </c>
      <c r="N11" s="29" t="s">
        <v>114</v>
      </c>
      <c r="O11" s="26" t="s">
        <v>34</v>
      </c>
      <c r="P11" s="73" t="s">
        <v>11</v>
      </c>
      <c r="Q11" s="26"/>
      <c r="R11" s="26"/>
      <c r="S11" s="27"/>
      <c r="T11" s="27"/>
      <c r="U11" s="27"/>
      <c r="V11" s="26"/>
      <c r="W11" s="26"/>
      <c r="X11" s="26">
        <v>0.5</v>
      </c>
      <c r="Y11" s="26">
        <v>1.5</v>
      </c>
      <c r="Z11" s="26">
        <v>1.5</v>
      </c>
      <c r="AA11" s="27"/>
      <c r="AB11" s="27"/>
      <c r="AC11" s="26">
        <v>1.5</v>
      </c>
      <c r="AD11" s="27"/>
      <c r="AE11" s="26">
        <v>1</v>
      </c>
      <c r="AF11" s="26">
        <v>1.5</v>
      </c>
      <c r="AG11" s="26">
        <v>1.5</v>
      </c>
      <c r="AH11" s="26">
        <v>1.5</v>
      </c>
      <c r="AI11" s="27"/>
      <c r="AJ11" s="26">
        <v>1.5</v>
      </c>
      <c r="AK11" s="26">
        <v>1.5</v>
      </c>
      <c r="AL11" s="26">
        <v>0.5</v>
      </c>
      <c r="AM11" s="27"/>
      <c r="AN11" s="26">
        <v>0.7</v>
      </c>
      <c r="AO11" s="27"/>
      <c r="AP11" s="27"/>
      <c r="AQ11" s="26"/>
      <c r="AR11" s="26"/>
      <c r="AS11" s="26"/>
      <c r="AT11" s="26"/>
      <c r="AU11" s="27"/>
      <c r="AV11" s="27"/>
      <c r="AW11" s="27"/>
      <c r="AX11" s="26"/>
      <c r="AY11" s="26">
        <v>0.5</v>
      </c>
      <c r="AZ11" s="26">
        <v>1</v>
      </c>
      <c r="BA11" s="26"/>
      <c r="BB11" s="26"/>
      <c r="BC11" s="27"/>
      <c r="BD11" s="27"/>
      <c r="BE11" s="26"/>
      <c r="BF11" s="26"/>
      <c r="BG11" s="26"/>
      <c r="BH11" s="26"/>
      <c r="BI11" s="26"/>
      <c r="BJ11" s="27"/>
      <c r="BK11" s="27"/>
      <c r="BL11" s="26">
        <v>0.5</v>
      </c>
      <c r="BM11" s="26">
        <v>1.4</v>
      </c>
      <c r="BN11" s="26">
        <v>1.4</v>
      </c>
      <c r="BO11" s="26">
        <v>0.5</v>
      </c>
      <c r="BP11" s="26">
        <v>1.4</v>
      </c>
      <c r="BQ11" s="27"/>
      <c r="BR11" s="27"/>
      <c r="BS11" s="26"/>
      <c r="BT11" s="26"/>
      <c r="BU11" s="26"/>
      <c r="BV11" s="26"/>
      <c r="BW11" s="26"/>
      <c r="BX11" s="27"/>
      <c r="BY11" s="27"/>
      <c r="BZ11" s="27"/>
      <c r="CA11" s="26"/>
      <c r="CB11" s="26"/>
      <c r="CC11" s="26"/>
      <c r="CD11" s="26"/>
      <c r="CE11" s="26"/>
      <c r="CF11" s="27"/>
      <c r="CG11" s="27"/>
      <c r="CH11" s="26"/>
      <c r="CI11" s="26"/>
      <c r="CJ11" s="26"/>
      <c r="CK11" s="26"/>
      <c r="CL11" s="26"/>
      <c r="CM11" s="27"/>
      <c r="CN11" s="27"/>
      <c r="CO11" s="26"/>
      <c r="CP11" s="26"/>
      <c r="CQ11" s="26"/>
      <c r="CR11" s="26"/>
      <c r="CS11" s="26"/>
      <c r="CT11" s="27"/>
      <c r="CU11" s="27"/>
      <c r="CV11" s="26"/>
      <c r="CW11" s="26"/>
      <c r="CX11" s="26"/>
      <c r="CY11" s="26"/>
      <c r="CZ11" s="26"/>
      <c r="DA11" s="27"/>
      <c r="DB11" s="27"/>
      <c r="DC11" s="26"/>
      <c r="DD11" s="26"/>
      <c r="DE11" s="26"/>
      <c r="DF11" s="26"/>
      <c r="DG11" s="26"/>
      <c r="DH11" s="27"/>
      <c r="DI11" s="27"/>
      <c r="DJ11" s="26"/>
      <c r="DK11" s="26"/>
      <c r="DL11" s="26"/>
      <c r="DM11" s="26"/>
      <c r="DN11" s="26"/>
      <c r="DO11" s="27"/>
      <c r="DP11" s="27"/>
      <c r="DQ11" s="26"/>
      <c r="DR11" s="26"/>
      <c r="DS11" s="26"/>
      <c r="DT11" s="26"/>
      <c r="DU11" s="26"/>
      <c r="DV11" s="27"/>
      <c r="DW11" s="27"/>
      <c r="DX11" s="26"/>
      <c r="DY11" s="26"/>
      <c r="DZ11" s="26"/>
      <c r="EA11" s="26"/>
      <c r="EB11" s="26"/>
      <c r="EC11" s="27"/>
      <c r="ED11" s="27"/>
      <c r="EE11" s="26"/>
      <c r="EF11" s="26"/>
      <c r="EG11" s="26"/>
      <c r="EH11" s="26"/>
      <c r="EI11" s="26"/>
      <c r="EJ11" s="27"/>
      <c r="EK11" s="27"/>
      <c r="EL11" s="26"/>
      <c r="EM11" s="26"/>
      <c r="EN11" s="26"/>
      <c r="EO11" s="26"/>
      <c r="EP11" s="26"/>
      <c r="EQ11" s="27"/>
      <c r="ER11" s="27"/>
      <c r="ES11" s="26"/>
      <c r="ET11" s="26"/>
      <c r="EU11" s="26"/>
      <c r="EV11" s="26"/>
      <c r="EW11" s="27"/>
      <c r="EX11" s="27"/>
      <c r="EY11" s="27"/>
      <c r="EZ11" s="26"/>
      <c r="FA11" s="26"/>
      <c r="FB11" s="26"/>
      <c r="FC11" s="26"/>
      <c r="FD11" s="26"/>
      <c r="FE11" s="27"/>
      <c r="FF11" s="27"/>
      <c r="FG11" s="26"/>
      <c r="FH11" s="26"/>
      <c r="FI11" s="26"/>
      <c r="FJ11" s="26"/>
      <c r="FK11" s="26"/>
      <c r="FL11" s="27"/>
      <c r="FM11" s="27"/>
      <c r="FN11" s="26"/>
      <c r="FO11" s="26"/>
      <c r="FP11" s="26"/>
      <c r="FQ11" s="26"/>
      <c r="FR11" s="27"/>
      <c r="FS11" s="27"/>
      <c r="FT11" s="27"/>
      <c r="FU11" s="26"/>
      <c r="FV11" s="26"/>
      <c r="FW11" s="26"/>
      <c r="FX11" s="26"/>
      <c r="FY11" s="26"/>
      <c r="FZ11" s="27"/>
      <c r="GA11" s="27"/>
      <c r="GB11" s="26"/>
      <c r="GC11" s="26"/>
      <c r="GD11" s="26"/>
      <c r="GE11" s="26"/>
      <c r="GF11" s="26"/>
      <c r="GG11" s="27"/>
      <c r="GH11" s="27"/>
      <c r="GI11" s="26"/>
      <c r="GJ11" s="26"/>
      <c r="GK11" s="26"/>
      <c r="GL11" s="26"/>
      <c r="GM11" s="26"/>
      <c r="GN11" s="27"/>
      <c r="GO11" s="27"/>
      <c r="GP11" s="26"/>
      <c r="GQ11" s="26"/>
      <c r="GR11" s="27"/>
      <c r="GS11" s="27"/>
      <c r="GT11" s="26"/>
      <c r="GU11" s="27"/>
      <c r="GV11" s="27"/>
      <c r="GW11" s="26"/>
      <c r="GX11" s="26"/>
      <c r="GY11" s="26"/>
      <c r="GZ11" s="26"/>
      <c r="HA11" s="26"/>
      <c r="HB11" s="27"/>
      <c r="HC11" s="27"/>
      <c r="HD11" s="26"/>
      <c r="HE11" s="28"/>
      <c r="HF11" s="28"/>
      <c r="HG11" s="26"/>
      <c r="HH11" s="26"/>
      <c r="HI11" s="27"/>
      <c r="HJ11" s="27"/>
      <c r="HK11" s="27"/>
      <c r="HL11" s="28"/>
      <c r="HM11" s="28"/>
      <c r="HN11" s="26"/>
      <c r="HO11" s="26"/>
      <c r="HP11" s="27"/>
      <c r="HQ11" s="27"/>
      <c r="HR11" s="26"/>
      <c r="HS11" s="28"/>
      <c r="HT11" s="28"/>
      <c r="HU11" s="26"/>
      <c r="HV11" s="26"/>
      <c r="HW11" s="27"/>
      <c r="HX11" s="27"/>
      <c r="HY11" s="26"/>
      <c r="HZ11" s="26"/>
      <c r="IA11" s="26"/>
      <c r="IB11" s="26"/>
      <c r="IC11" s="26"/>
      <c r="ID11" s="27"/>
      <c r="IE11" s="27"/>
      <c r="IF11" s="26"/>
      <c r="IG11" s="26"/>
      <c r="IH11" s="26"/>
      <c r="II11" s="26"/>
      <c r="IJ11" s="26"/>
      <c r="IK11" s="27"/>
      <c r="IL11" s="27"/>
      <c r="IM11" s="26"/>
      <c r="IN11" s="26"/>
      <c r="IO11" s="26"/>
      <c r="IP11" s="26"/>
      <c r="IQ11" s="26"/>
      <c r="IR11" s="27"/>
      <c r="IS11" s="27"/>
      <c r="IT11" s="26"/>
      <c r="IU11" s="26"/>
      <c r="IV11" s="26"/>
      <c r="IW11" s="26"/>
      <c r="IX11" s="26"/>
      <c r="IY11" s="27"/>
      <c r="IZ11" s="27"/>
      <c r="JA11" s="26"/>
      <c r="JB11" s="26"/>
      <c r="JC11" s="26"/>
      <c r="JD11" s="26"/>
      <c r="JE11" s="26"/>
      <c r="JF11" s="27"/>
      <c r="JG11" s="27"/>
      <c r="JH11" s="26"/>
      <c r="JI11" s="26"/>
      <c r="JJ11" s="26"/>
      <c r="JK11" s="26"/>
      <c r="JL11" s="26"/>
      <c r="JM11" s="27"/>
      <c r="JN11" s="27"/>
      <c r="JO11" s="26"/>
      <c r="JP11" s="26"/>
      <c r="JQ11" s="26"/>
      <c r="JR11" s="26"/>
      <c r="JS11" s="26"/>
      <c r="JT11" s="27"/>
      <c r="JU11" s="27"/>
      <c r="JV11" s="26"/>
      <c r="JW11" s="26"/>
      <c r="JX11" s="26"/>
      <c r="JY11" s="27"/>
      <c r="JZ11" s="26"/>
      <c r="KA11" s="27"/>
      <c r="KB11" s="27"/>
      <c r="KC11" s="26"/>
      <c r="KD11" s="26"/>
      <c r="KE11" s="26"/>
      <c r="KF11" s="27"/>
      <c r="KG11" s="26"/>
      <c r="KH11" s="27"/>
      <c r="KI11" s="27"/>
      <c r="KJ11" s="26"/>
      <c r="KK11" s="26"/>
      <c r="KL11" s="26"/>
      <c r="KM11" s="26"/>
      <c r="KN11" s="26"/>
      <c r="KO11" s="27"/>
      <c r="KP11" s="27"/>
      <c r="KQ11" s="26"/>
      <c r="KR11" s="26"/>
      <c r="KS11" s="26"/>
      <c r="KT11" s="27"/>
      <c r="KU11" s="27"/>
      <c r="KV11" s="27"/>
      <c r="KW11" s="27"/>
      <c r="KX11" s="26"/>
      <c r="KY11" s="26"/>
      <c r="KZ11" s="26"/>
      <c r="LA11" s="26"/>
      <c r="LB11" s="26"/>
      <c r="LC11" s="27"/>
      <c r="LD11" s="27"/>
      <c r="LE11" s="27"/>
      <c r="LF11" s="26"/>
      <c r="LG11" s="26"/>
      <c r="LH11" s="26"/>
      <c r="LI11" s="26"/>
      <c r="LJ11" s="27"/>
      <c r="LK11" s="27"/>
      <c r="LL11" s="26"/>
      <c r="LM11" s="26"/>
      <c r="LN11" s="26"/>
      <c r="LO11" s="26"/>
      <c r="LP11" s="26"/>
      <c r="LQ11" s="27"/>
      <c r="LR11" s="27"/>
      <c r="LS11" s="26"/>
      <c r="LT11" s="26"/>
      <c r="LU11" s="26"/>
      <c r="LV11" s="26"/>
      <c r="LW11" s="26"/>
      <c r="LX11" s="27"/>
      <c r="LY11" s="27"/>
      <c r="LZ11" s="26"/>
      <c r="MA11" s="26"/>
      <c r="MB11" s="26"/>
      <c r="MC11" s="26"/>
      <c r="MD11" s="26"/>
      <c r="ME11" s="27"/>
      <c r="MF11" s="27"/>
      <c r="MG11" s="26"/>
      <c r="MH11" s="26"/>
      <c r="MI11" s="26"/>
      <c r="MJ11" s="26"/>
      <c r="MK11" s="26"/>
      <c r="ML11" s="27"/>
      <c r="MM11" s="26"/>
      <c r="MN11" s="27"/>
      <c r="MO11" s="26"/>
      <c r="MP11" s="26"/>
      <c r="MQ11" s="26"/>
      <c r="MR11" s="26"/>
      <c r="MS11" s="26"/>
      <c r="MT11" s="27"/>
      <c r="MU11" s="27"/>
      <c r="MV11" s="26"/>
      <c r="MW11" s="26"/>
      <c r="MX11" s="26"/>
      <c r="MY11" s="26"/>
      <c r="MZ11" s="26"/>
      <c r="NA11" s="27"/>
      <c r="NB11" s="27"/>
      <c r="NC11" s="26"/>
      <c r="ND11" s="26"/>
      <c r="NE11" s="26"/>
      <c r="NF11" s="26"/>
      <c r="NG11" s="26"/>
      <c r="NH11" s="27"/>
      <c r="NI11" s="27"/>
      <c r="NJ11" s="26"/>
      <c r="NK11" s="26"/>
      <c r="NL11" s="26"/>
      <c r="NM11" s="26"/>
      <c r="NN11" s="26"/>
      <c r="NO11" s="27"/>
      <c r="NP11" s="27"/>
      <c r="NQ11" s="26"/>
      <c r="NR11" s="26"/>
    </row>
    <row r="12" spans="2:382" x14ac:dyDescent="0.4">
      <c r="B12" s="23">
        <v>7</v>
      </c>
      <c r="C12" s="26" t="s">
        <v>102</v>
      </c>
      <c r="D12" s="23" t="s">
        <v>103</v>
      </c>
      <c r="E12" s="26" t="s">
        <v>28</v>
      </c>
      <c r="F12" s="26" t="s">
        <v>40</v>
      </c>
      <c r="G12" s="23" t="s">
        <v>85</v>
      </c>
      <c r="H12" s="69">
        <v>36</v>
      </c>
      <c r="I12" s="70">
        <f>SUM(Q12:NR12)*9</f>
        <v>36</v>
      </c>
      <c r="J12" s="70"/>
      <c r="K12" s="29" t="s">
        <v>105</v>
      </c>
      <c r="L12" s="71">
        <v>46127</v>
      </c>
      <c r="M12" s="71">
        <v>46142</v>
      </c>
      <c r="N12" s="29"/>
      <c r="O12" s="26" t="s">
        <v>91</v>
      </c>
      <c r="P12" s="68" t="s">
        <v>1</v>
      </c>
      <c r="Q12" s="26"/>
      <c r="R12" s="26"/>
      <c r="S12" s="27"/>
      <c r="T12" s="27"/>
      <c r="U12" s="27"/>
      <c r="V12" s="26"/>
      <c r="W12" s="26"/>
      <c r="X12" s="26"/>
      <c r="Y12" s="26"/>
      <c r="Z12" s="26"/>
      <c r="AA12" s="27"/>
      <c r="AB12" s="27"/>
      <c r="AC12" s="26"/>
      <c r="AD12" s="27"/>
      <c r="AE12" s="26">
        <v>1</v>
      </c>
      <c r="AF12" s="26">
        <v>1</v>
      </c>
      <c r="AG12" s="26">
        <v>1</v>
      </c>
      <c r="AH12" s="26">
        <v>1</v>
      </c>
      <c r="AI12" s="27"/>
      <c r="AJ12" s="26"/>
      <c r="AK12" s="26"/>
      <c r="AL12" s="26"/>
      <c r="AM12" s="27"/>
      <c r="AN12" s="26"/>
      <c r="AO12" s="27"/>
      <c r="AP12" s="27"/>
      <c r="AQ12" s="26"/>
      <c r="AR12" s="26"/>
      <c r="AS12" s="26"/>
      <c r="AT12" s="26"/>
      <c r="AU12" s="27"/>
      <c r="AV12" s="27"/>
      <c r="AW12" s="27"/>
      <c r="AX12" s="26"/>
      <c r="AY12" s="26"/>
      <c r="AZ12" s="26"/>
      <c r="BA12" s="26"/>
      <c r="BB12" s="26"/>
      <c r="BC12" s="27"/>
      <c r="BD12" s="27"/>
      <c r="BE12" s="26"/>
      <c r="BF12" s="26"/>
      <c r="BG12" s="26"/>
      <c r="BH12" s="26"/>
      <c r="BI12" s="26"/>
      <c r="BJ12" s="27"/>
      <c r="BK12" s="27"/>
      <c r="BL12" s="26"/>
      <c r="BM12" s="26"/>
      <c r="BN12" s="26"/>
      <c r="BO12" s="26"/>
      <c r="BP12" s="26"/>
      <c r="BQ12" s="27"/>
      <c r="BR12" s="27"/>
      <c r="BS12" s="26"/>
      <c r="BT12" s="26"/>
      <c r="BU12" s="26"/>
      <c r="BV12" s="26"/>
      <c r="BW12" s="26"/>
      <c r="BX12" s="27"/>
      <c r="BY12" s="27"/>
      <c r="BZ12" s="27"/>
      <c r="CA12" s="26"/>
      <c r="CB12" s="26"/>
      <c r="CC12" s="26"/>
      <c r="CD12" s="26"/>
      <c r="CE12" s="26"/>
      <c r="CF12" s="27"/>
      <c r="CG12" s="27"/>
      <c r="CH12" s="26"/>
      <c r="CI12" s="26"/>
      <c r="CJ12" s="26"/>
      <c r="CK12" s="26"/>
      <c r="CL12" s="26"/>
      <c r="CM12" s="27"/>
      <c r="CN12" s="27"/>
      <c r="CO12" s="26"/>
      <c r="CP12" s="26"/>
      <c r="CQ12" s="26"/>
      <c r="CR12" s="26"/>
      <c r="CS12" s="26"/>
      <c r="CT12" s="27"/>
      <c r="CU12" s="27"/>
      <c r="CV12" s="26"/>
      <c r="CW12" s="26"/>
      <c r="CX12" s="26"/>
      <c r="CY12" s="26"/>
      <c r="CZ12" s="26"/>
      <c r="DA12" s="27"/>
      <c r="DB12" s="27"/>
      <c r="DC12" s="26"/>
      <c r="DD12" s="26"/>
      <c r="DE12" s="26"/>
      <c r="DF12" s="26"/>
      <c r="DG12" s="26"/>
      <c r="DH12" s="27"/>
      <c r="DI12" s="27"/>
      <c r="DJ12" s="26"/>
      <c r="DK12" s="26"/>
      <c r="DL12" s="26"/>
      <c r="DM12" s="26"/>
      <c r="DN12" s="26"/>
      <c r="DO12" s="27"/>
      <c r="DP12" s="27"/>
      <c r="DQ12" s="26"/>
      <c r="DR12" s="26"/>
      <c r="DS12" s="26"/>
      <c r="DT12" s="26"/>
      <c r="DU12" s="26"/>
      <c r="DV12" s="27"/>
      <c r="DW12" s="27"/>
      <c r="DX12" s="26"/>
      <c r="DY12" s="26"/>
      <c r="DZ12" s="26"/>
      <c r="EA12" s="26"/>
      <c r="EB12" s="26"/>
      <c r="EC12" s="27"/>
      <c r="ED12" s="27"/>
      <c r="EE12" s="26"/>
      <c r="EF12" s="26"/>
      <c r="EG12" s="26"/>
      <c r="EH12" s="26"/>
      <c r="EI12" s="26"/>
      <c r="EJ12" s="27"/>
      <c r="EK12" s="27"/>
      <c r="EL12" s="26"/>
      <c r="EM12" s="26"/>
      <c r="EN12" s="26"/>
      <c r="EO12" s="26"/>
      <c r="EP12" s="26"/>
      <c r="EQ12" s="27"/>
      <c r="ER12" s="27"/>
      <c r="ES12" s="26"/>
      <c r="ET12" s="26"/>
      <c r="EU12" s="26"/>
      <c r="EV12" s="26"/>
      <c r="EW12" s="27"/>
      <c r="EX12" s="27"/>
      <c r="EY12" s="27"/>
      <c r="EZ12" s="26"/>
      <c r="FA12" s="26"/>
      <c r="FB12" s="26"/>
      <c r="FC12" s="26"/>
      <c r="FD12" s="26"/>
      <c r="FE12" s="27"/>
      <c r="FF12" s="27"/>
      <c r="FG12" s="26"/>
      <c r="FH12" s="26"/>
      <c r="FI12" s="26"/>
      <c r="FJ12" s="26"/>
      <c r="FK12" s="26"/>
      <c r="FL12" s="27"/>
      <c r="FM12" s="27"/>
      <c r="FN12" s="26"/>
      <c r="FO12" s="26"/>
      <c r="FP12" s="26"/>
      <c r="FQ12" s="26"/>
      <c r="FR12" s="27"/>
      <c r="FS12" s="27"/>
      <c r="FT12" s="27"/>
      <c r="FU12" s="26"/>
      <c r="FV12" s="26"/>
      <c r="FW12" s="26"/>
      <c r="FX12" s="26"/>
      <c r="FY12" s="26"/>
      <c r="FZ12" s="27"/>
      <c r="GA12" s="27"/>
      <c r="GB12" s="26"/>
      <c r="GC12" s="26"/>
      <c r="GD12" s="26"/>
      <c r="GE12" s="26"/>
      <c r="GF12" s="26"/>
      <c r="GG12" s="27"/>
      <c r="GH12" s="27"/>
      <c r="GI12" s="26"/>
      <c r="GJ12" s="26"/>
      <c r="GK12" s="26"/>
      <c r="GL12" s="26"/>
      <c r="GM12" s="26"/>
      <c r="GN12" s="27"/>
      <c r="GO12" s="27"/>
      <c r="GP12" s="26"/>
      <c r="GQ12" s="26"/>
      <c r="GR12" s="27"/>
      <c r="GS12" s="27"/>
      <c r="GT12" s="26"/>
      <c r="GU12" s="27"/>
      <c r="GV12" s="27"/>
      <c r="GW12" s="26"/>
      <c r="GX12" s="26"/>
      <c r="GY12" s="26"/>
      <c r="GZ12" s="26"/>
      <c r="HA12" s="26"/>
      <c r="HB12" s="27"/>
      <c r="HC12" s="27"/>
      <c r="HD12" s="26"/>
      <c r="HE12" s="28"/>
      <c r="HF12" s="28"/>
      <c r="HG12" s="26"/>
      <c r="HH12" s="26"/>
      <c r="HI12" s="27"/>
      <c r="HJ12" s="27"/>
      <c r="HK12" s="27"/>
      <c r="HL12" s="28"/>
      <c r="HM12" s="28"/>
      <c r="HN12" s="26"/>
      <c r="HO12" s="26"/>
      <c r="HP12" s="27"/>
      <c r="HQ12" s="27"/>
      <c r="HR12" s="26"/>
      <c r="HS12" s="28"/>
      <c r="HT12" s="28"/>
      <c r="HU12" s="26"/>
      <c r="HV12" s="26"/>
      <c r="HW12" s="27"/>
      <c r="HX12" s="27"/>
      <c r="HY12" s="26"/>
      <c r="HZ12" s="26"/>
      <c r="IA12" s="26"/>
      <c r="IB12" s="26"/>
      <c r="IC12" s="26"/>
      <c r="ID12" s="27"/>
      <c r="IE12" s="27"/>
      <c r="IF12" s="26"/>
      <c r="IG12" s="26"/>
      <c r="IH12" s="26"/>
      <c r="II12" s="26"/>
      <c r="IJ12" s="26"/>
      <c r="IK12" s="27"/>
      <c r="IL12" s="27"/>
      <c r="IM12" s="26"/>
      <c r="IN12" s="26"/>
      <c r="IO12" s="26"/>
      <c r="IP12" s="26"/>
      <c r="IQ12" s="26"/>
      <c r="IR12" s="27"/>
      <c r="IS12" s="27"/>
      <c r="IT12" s="26"/>
      <c r="IU12" s="26"/>
      <c r="IV12" s="26"/>
      <c r="IW12" s="26"/>
      <c r="IX12" s="26"/>
      <c r="IY12" s="27"/>
      <c r="IZ12" s="27"/>
      <c r="JA12" s="26"/>
      <c r="JB12" s="26"/>
      <c r="JC12" s="26"/>
      <c r="JD12" s="26"/>
      <c r="JE12" s="26"/>
      <c r="JF12" s="27"/>
      <c r="JG12" s="27"/>
      <c r="JH12" s="26"/>
      <c r="JI12" s="26"/>
      <c r="JJ12" s="26"/>
      <c r="JK12" s="26"/>
      <c r="JL12" s="26"/>
      <c r="JM12" s="27"/>
      <c r="JN12" s="27"/>
      <c r="JO12" s="26"/>
      <c r="JP12" s="26"/>
      <c r="JQ12" s="26"/>
      <c r="JR12" s="26"/>
      <c r="JS12" s="26"/>
      <c r="JT12" s="27"/>
      <c r="JU12" s="27"/>
      <c r="JV12" s="26"/>
      <c r="JW12" s="26"/>
      <c r="JX12" s="26"/>
      <c r="JY12" s="27"/>
      <c r="JZ12" s="26"/>
      <c r="KA12" s="27"/>
      <c r="KB12" s="27"/>
      <c r="KC12" s="26"/>
      <c r="KD12" s="26"/>
      <c r="KE12" s="26"/>
      <c r="KF12" s="27"/>
      <c r="KG12" s="26"/>
      <c r="KH12" s="27"/>
      <c r="KI12" s="27"/>
      <c r="KJ12" s="26"/>
      <c r="KK12" s="26"/>
      <c r="KL12" s="26"/>
      <c r="KM12" s="26"/>
      <c r="KN12" s="26"/>
      <c r="KO12" s="27"/>
      <c r="KP12" s="27"/>
      <c r="KQ12" s="26"/>
      <c r="KR12" s="26"/>
      <c r="KS12" s="26"/>
      <c r="KT12" s="27"/>
      <c r="KU12" s="27"/>
      <c r="KV12" s="27"/>
      <c r="KW12" s="27"/>
      <c r="KX12" s="26"/>
      <c r="KY12" s="26"/>
      <c r="KZ12" s="26"/>
      <c r="LA12" s="26"/>
      <c r="LB12" s="26"/>
      <c r="LC12" s="27"/>
      <c r="LD12" s="27"/>
      <c r="LE12" s="27"/>
      <c r="LF12" s="26"/>
      <c r="LG12" s="26"/>
      <c r="LH12" s="26"/>
      <c r="LI12" s="26"/>
      <c r="LJ12" s="27"/>
      <c r="LK12" s="27"/>
      <c r="LL12" s="26"/>
      <c r="LM12" s="26"/>
      <c r="LN12" s="26"/>
      <c r="LO12" s="26"/>
      <c r="LP12" s="26"/>
      <c r="LQ12" s="27"/>
      <c r="LR12" s="27"/>
      <c r="LS12" s="26"/>
      <c r="LT12" s="26"/>
      <c r="LU12" s="26"/>
      <c r="LV12" s="26"/>
      <c r="LW12" s="26"/>
      <c r="LX12" s="27"/>
      <c r="LY12" s="27"/>
      <c r="LZ12" s="26"/>
      <c r="MA12" s="26"/>
      <c r="MB12" s="26"/>
      <c r="MC12" s="26"/>
      <c r="MD12" s="26"/>
      <c r="ME12" s="27"/>
      <c r="MF12" s="27"/>
      <c r="MG12" s="26"/>
      <c r="MH12" s="26"/>
      <c r="MI12" s="26"/>
      <c r="MJ12" s="26"/>
      <c r="MK12" s="26"/>
      <c r="ML12" s="27"/>
      <c r="MM12" s="26"/>
      <c r="MN12" s="27"/>
      <c r="MO12" s="26"/>
      <c r="MP12" s="26"/>
      <c r="MQ12" s="26"/>
      <c r="MR12" s="26"/>
      <c r="MS12" s="26"/>
      <c r="MT12" s="27"/>
      <c r="MU12" s="27"/>
      <c r="MV12" s="26"/>
      <c r="MW12" s="26"/>
      <c r="MX12" s="26"/>
      <c r="MY12" s="26"/>
      <c r="MZ12" s="26"/>
      <c r="NA12" s="27"/>
      <c r="NB12" s="27"/>
      <c r="NC12" s="26"/>
      <c r="ND12" s="26"/>
      <c r="NE12" s="26"/>
      <c r="NF12" s="26"/>
      <c r="NG12" s="26"/>
      <c r="NH12" s="27"/>
      <c r="NI12" s="27"/>
      <c r="NJ12" s="26"/>
      <c r="NK12" s="26"/>
      <c r="NL12" s="26"/>
      <c r="NM12" s="26"/>
      <c r="NN12" s="26"/>
      <c r="NO12" s="27"/>
      <c r="NP12" s="27"/>
      <c r="NQ12" s="26"/>
      <c r="NR12" s="26"/>
    </row>
    <row r="13" spans="2:382" x14ac:dyDescent="0.4">
      <c r="B13" s="23">
        <v>8</v>
      </c>
      <c r="C13" s="26" t="s">
        <v>108</v>
      </c>
      <c r="D13" s="23" t="s">
        <v>107</v>
      </c>
      <c r="E13" s="26" t="s">
        <v>28</v>
      </c>
      <c r="F13" s="26" t="s">
        <v>40</v>
      </c>
      <c r="G13" s="23" t="s">
        <v>68</v>
      </c>
      <c r="H13" s="69">
        <v>40</v>
      </c>
      <c r="I13" s="70">
        <f>SUM(Q13:NR13)*9</f>
        <v>45</v>
      </c>
      <c r="J13" s="70"/>
      <c r="K13" s="29" t="s">
        <v>39</v>
      </c>
      <c r="L13" s="71">
        <v>46139</v>
      </c>
      <c r="M13" s="71">
        <v>46153</v>
      </c>
      <c r="N13" s="29"/>
      <c r="O13" s="26" t="s">
        <v>91</v>
      </c>
      <c r="P13" s="68" t="s">
        <v>1</v>
      </c>
      <c r="Q13" s="26"/>
      <c r="R13" s="26"/>
      <c r="S13" s="27"/>
      <c r="T13" s="27"/>
      <c r="U13" s="27"/>
      <c r="V13" s="26"/>
      <c r="W13" s="26"/>
      <c r="X13" s="26"/>
      <c r="Y13" s="26"/>
      <c r="Z13" s="26"/>
      <c r="AA13" s="27"/>
      <c r="AB13" s="27"/>
      <c r="AC13" s="26"/>
      <c r="AD13" s="27"/>
      <c r="AE13" s="26"/>
      <c r="AF13" s="26"/>
      <c r="AG13" s="26"/>
      <c r="AH13" s="26"/>
      <c r="AI13" s="27"/>
      <c r="AJ13" s="26"/>
      <c r="AK13" s="26"/>
      <c r="AL13" s="26"/>
      <c r="AM13" s="27"/>
      <c r="AN13" s="26">
        <v>0.5</v>
      </c>
      <c r="AO13" s="27"/>
      <c r="AP13" s="27"/>
      <c r="AQ13" s="26">
        <v>1</v>
      </c>
      <c r="AR13" s="26">
        <v>1</v>
      </c>
      <c r="AS13" s="26"/>
      <c r="AT13" s="26">
        <v>1</v>
      </c>
      <c r="AU13" s="27"/>
      <c r="AV13" s="27"/>
      <c r="AW13" s="27"/>
      <c r="AX13" s="26">
        <v>0.5</v>
      </c>
      <c r="AY13" s="26">
        <v>0.5</v>
      </c>
      <c r="AZ13" s="26">
        <v>0.5</v>
      </c>
      <c r="BA13" s="26"/>
      <c r="BB13" s="26"/>
      <c r="BC13" s="27"/>
      <c r="BD13" s="27"/>
      <c r="BE13" s="26"/>
      <c r="BF13" s="26"/>
      <c r="BG13" s="26"/>
      <c r="BH13" s="26"/>
      <c r="BI13" s="26"/>
      <c r="BJ13" s="27"/>
      <c r="BK13" s="27"/>
      <c r="BL13" s="26"/>
      <c r="BM13" s="26"/>
      <c r="BN13" s="26"/>
      <c r="BO13" s="26"/>
      <c r="BP13" s="26"/>
      <c r="BQ13" s="27"/>
      <c r="BR13" s="27"/>
      <c r="BS13" s="26"/>
      <c r="BT13" s="26"/>
      <c r="BU13" s="26"/>
      <c r="BV13" s="26"/>
      <c r="BW13" s="26"/>
      <c r="BX13" s="27"/>
      <c r="BY13" s="27"/>
      <c r="BZ13" s="27"/>
      <c r="CA13" s="26"/>
      <c r="CB13" s="26"/>
      <c r="CC13" s="26"/>
      <c r="CD13" s="26"/>
      <c r="CE13" s="26"/>
      <c r="CF13" s="27"/>
      <c r="CG13" s="27"/>
      <c r="CH13" s="26"/>
      <c r="CI13" s="26"/>
      <c r="CJ13" s="26"/>
      <c r="CK13" s="26"/>
      <c r="CL13" s="26"/>
      <c r="CM13" s="27"/>
      <c r="CN13" s="27"/>
      <c r="CO13" s="26"/>
      <c r="CP13" s="26"/>
      <c r="CQ13" s="26"/>
      <c r="CR13" s="26"/>
      <c r="CS13" s="26"/>
      <c r="CT13" s="27"/>
      <c r="CU13" s="27"/>
      <c r="CV13" s="26"/>
      <c r="CW13" s="26"/>
      <c r="CX13" s="26"/>
      <c r="CY13" s="26"/>
      <c r="CZ13" s="26"/>
      <c r="DA13" s="27"/>
      <c r="DB13" s="27"/>
      <c r="DC13" s="26"/>
      <c r="DD13" s="26"/>
      <c r="DE13" s="26"/>
      <c r="DF13" s="26"/>
      <c r="DG13" s="26"/>
      <c r="DH13" s="27"/>
      <c r="DI13" s="27"/>
      <c r="DJ13" s="26"/>
      <c r="DK13" s="26"/>
      <c r="DL13" s="26"/>
      <c r="DM13" s="26"/>
      <c r="DN13" s="26"/>
      <c r="DO13" s="27"/>
      <c r="DP13" s="27"/>
      <c r="DQ13" s="26"/>
      <c r="DR13" s="26"/>
      <c r="DS13" s="26"/>
      <c r="DT13" s="26"/>
      <c r="DU13" s="26"/>
      <c r="DV13" s="27"/>
      <c r="DW13" s="27"/>
      <c r="DX13" s="26"/>
      <c r="DY13" s="26"/>
      <c r="DZ13" s="26"/>
      <c r="EA13" s="26"/>
      <c r="EB13" s="26"/>
      <c r="EC13" s="27"/>
      <c r="ED13" s="27"/>
      <c r="EE13" s="26"/>
      <c r="EF13" s="26"/>
      <c r="EG13" s="26"/>
      <c r="EH13" s="26"/>
      <c r="EI13" s="26"/>
      <c r="EJ13" s="27"/>
      <c r="EK13" s="27"/>
      <c r="EL13" s="26"/>
      <c r="EM13" s="26"/>
      <c r="EN13" s="26"/>
      <c r="EO13" s="26"/>
      <c r="EP13" s="26"/>
      <c r="EQ13" s="27"/>
      <c r="ER13" s="27"/>
      <c r="ES13" s="26"/>
      <c r="ET13" s="26"/>
      <c r="EU13" s="26"/>
      <c r="EV13" s="26"/>
      <c r="EW13" s="27"/>
      <c r="EX13" s="27"/>
      <c r="EY13" s="27"/>
      <c r="EZ13" s="26"/>
      <c r="FA13" s="26"/>
      <c r="FB13" s="26"/>
      <c r="FC13" s="26"/>
      <c r="FD13" s="26"/>
      <c r="FE13" s="27"/>
      <c r="FF13" s="27"/>
      <c r="FG13" s="26"/>
      <c r="FH13" s="26"/>
      <c r="FI13" s="26"/>
      <c r="FJ13" s="26"/>
      <c r="FK13" s="26"/>
      <c r="FL13" s="27"/>
      <c r="FM13" s="27"/>
      <c r="FN13" s="26"/>
      <c r="FO13" s="26"/>
      <c r="FP13" s="26"/>
      <c r="FQ13" s="26"/>
      <c r="FR13" s="27"/>
      <c r="FS13" s="27"/>
      <c r="FT13" s="27"/>
      <c r="FU13" s="26"/>
      <c r="FV13" s="26"/>
      <c r="FW13" s="26"/>
      <c r="FX13" s="26"/>
      <c r="FY13" s="26"/>
      <c r="FZ13" s="27"/>
      <c r="GA13" s="27"/>
      <c r="GB13" s="26"/>
      <c r="GC13" s="26"/>
      <c r="GD13" s="26"/>
      <c r="GE13" s="26"/>
      <c r="GF13" s="26"/>
      <c r="GG13" s="27"/>
      <c r="GH13" s="27"/>
      <c r="GI13" s="26"/>
      <c r="GJ13" s="26"/>
      <c r="GK13" s="26"/>
      <c r="GL13" s="26"/>
      <c r="GM13" s="26"/>
      <c r="GN13" s="27"/>
      <c r="GO13" s="27"/>
      <c r="GP13" s="26"/>
      <c r="GQ13" s="26"/>
      <c r="GR13" s="27"/>
      <c r="GS13" s="27"/>
      <c r="GT13" s="26"/>
      <c r="GU13" s="27"/>
      <c r="GV13" s="27"/>
      <c r="GW13" s="26"/>
      <c r="GX13" s="26"/>
      <c r="GY13" s="26"/>
      <c r="GZ13" s="26"/>
      <c r="HA13" s="26"/>
      <c r="HB13" s="27"/>
      <c r="HC13" s="27"/>
      <c r="HD13" s="26"/>
      <c r="HE13" s="28"/>
      <c r="HF13" s="28"/>
      <c r="HG13" s="26"/>
      <c r="HH13" s="26"/>
      <c r="HI13" s="27"/>
      <c r="HJ13" s="27"/>
      <c r="HK13" s="27"/>
      <c r="HL13" s="28"/>
      <c r="HM13" s="28"/>
      <c r="HN13" s="26"/>
      <c r="HO13" s="26"/>
      <c r="HP13" s="27"/>
      <c r="HQ13" s="27"/>
      <c r="HR13" s="26"/>
      <c r="HS13" s="28"/>
      <c r="HT13" s="28"/>
      <c r="HU13" s="26"/>
      <c r="HV13" s="26"/>
      <c r="HW13" s="27"/>
      <c r="HX13" s="27"/>
      <c r="HY13" s="26"/>
      <c r="HZ13" s="26"/>
      <c r="IA13" s="26"/>
      <c r="IB13" s="26"/>
      <c r="IC13" s="26"/>
      <c r="ID13" s="27"/>
      <c r="IE13" s="27"/>
      <c r="IF13" s="26"/>
      <c r="IG13" s="26"/>
      <c r="IH13" s="26"/>
      <c r="II13" s="26"/>
      <c r="IJ13" s="26"/>
      <c r="IK13" s="27"/>
      <c r="IL13" s="27"/>
      <c r="IM13" s="26"/>
      <c r="IN13" s="26"/>
      <c r="IO13" s="26"/>
      <c r="IP13" s="26"/>
      <c r="IQ13" s="26"/>
      <c r="IR13" s="27"/>
      <c r="IS13" s="27"/>
      <c r="IT13" s="26"/>
      <c r="IU13" s="26"/>
      <c r="IV13" s="26"/>
      <c r="IW13" s="26"/>
      <c r="IX13" s="26"/>
      <c r="IY13" s="27"/>
      <c r="IZ13" s="27"/>
      <c r="JA13" s="26"/>
      <c r="JB13" s="26"/>
      <c r="JC13" s="26"/>
      <c r="JD13" s="26"/>
      <c r="JE13" s="26"/>
      <c r="JF13" s="27"/>
      <c r="JG13" s="27"/>
      <c r="JH13" s="26"/>
      <c r="JI13" s="26"/>
      <c r="JJ13" s="26"/>
      <c r="JK13" s="26"/>
      <c r="JL13" s="26"/>
      <c r="JM13" s="27"/>
      <c r="JN13" s="27"/>
      <c r="JO13" s="26"/>
      <c r="JP13" s="26"/>
      <c r="JQ13" s="26"/>
      <c r="JR13" s="26"/>
      <c r="JS13" s="26"/>
      <c r="JT13" s="27"/>
      <c r="JU13" s="27"/>
      <c r="JV13" s="26"/>
      <c r="JW13" s="26"/>
      <c r="JX13" s="26"/>
      <c r="JY13" s="27"/>
      <c r="JZ13" s="26"/>
      <c r="KA13" s="27"/>
      <c r="KB13" s="27"/>
      <c r="KC13" s="26"/>
      <c r="KD13" s="26"/>
      <c r="KE13" s="26"/>
      <c r="KF13" s="27"/>
      <c r="KG13" s="26"/>
      <c r="KH13" s="27"/>
      <c r="KI13" s="27"/>
      <c r="KJ13" s="26"/>
      <c r="KK13" s="26"/>
      <c r="KL13" s="26"/>
      <c r="KM13" s="26"/>
      <c r="KN13" s="26"/>
      <c r="KO13" s="27"/>
      <c r="KP13" s="27"/>
      <c r="KQ13" s="26"/>
      <c r="KR13" s="26"/>
      <c r="KS13" s="26"/>
      <c r="KT13" s="27"/>
      <c r="KU13" s="27"/>
      <c r="KV13" s="27"/>
      <c r="KW13" s="27"/>
      <c r="KX13" s="26"/>
      <c r="KY13" s="26"/>
      <c r="KZ13" s="26"/>
      <c r="LA13" s="26"/>
      <c r="LB13" s="26"/>
      <c r="LC13" s="27"/>
      <c r="LD13" s="27"/>
      <c r="LE13" s="27"/>
      <c r="LF13" s="26"/>
      <c r="LG13" s="26"/>
      <c r="LH13" s="26"/>
      <c r="LI13" s="26"/>
      <c r="LJ13" s="27"/>
      <c r="LK13" s="27"/>
      <c r="LL13" s="26"/>
      <c r="LM13" s="26"/>
      <c r="LN13" s="26"/>
      <c r="LO13" s="26"/>
      <c r="LP13" s="26"/>
      <c r="LQ13" s="27"/>
      <c r="LR13" s="27"/>
      <c r="LS13" s="26"/>
      <c r="LT13" s="26"/>
      <c r="LU13" s="26"/>
      <c r="LV13" s="26"/>
      <c r="LW13" s="26"/>
      <c r="LX13" s="27"/>
      <c r="LY13" s="27"/>
      <c r="LZ13" s="26"/>
      <c r="MA13" s="26"/>
      <c r="MB13" s="26"/>
      <c r="MC13" s="26"/>
      <c r="MD13" s="26"/>
      <c r="ME13" s="27"/>
      <c r="MF13" s="27"/>
      <c r="MG13" s="26"/>
      <c r="MH13" s="26"/>
      <c r="MI13" s="26"/>
      <c r="MJ13" s="26"/>
      <c r="MK13" s="26"/>
      <c r="ML13" s="27"/>
      <c r="MM13" s="26"/>
      <c r="MN13" s="27"/>
      <c r="MO13" s="26"/>
      <c r="MP13" s="26"/>
      <c r="MQ13" s="26"/>
      <c r="MR13" s="26"/>
      <c r="MS13" s="26"/>
      <c r="MT13" s="27"/>
      <c r="MU13" s="27"/>
      <c r="MV13" s="26"/>
      <c r="MW13" s="26"/>
      <c r="MX13" s="26"/>
      <c r="MY13" s="26"/>
      <c r="MZ13" s="26"/>
      <c r="NA13" s="27"/>
      <c r="NB13" s="27"/>
      <c r="NC13" s="26"/>
      <c r="ND13" s="26"/>
      <c r="NE13" s="26"/>
      <c r="NF13" s="26"/>
      <c r="NG13" s="26"/>
      <c r="NH13" s="27"/>
      <c r="NI13" s="27"/>
      <c r="NJ13" s="26"/>
      <c r="NK13" s="26"/>
      <c r="NL13" s="26"/>
      <c r="NM13" s="26"/>
      <c r="NN13" s="26"/>
      <c r="NO13" s="27"/>
      <c r="NP13" s="27"/>
      <c r="NQ13" s="26"/>
      <c r="NR13" s="26"/>
    </row>
    <row r="14" spans="2:382" x14ac:dyDescent="0.4">
      <c r="B14" s="23">
        <v>9</v>
      </c>
      <c r="C14" s="26" t="s">
        <v>109</v>
      </c>
      <c r="D14" s="23" t="s">
        <v>110</v>
      </c>
      <c r="E14" s="26" t="s">
        <v>28</v>
      </c>
      <c r="F14" s="26" t="s">
        <v>40</v>
      </c>
      <c r="G14" s="23" t="s">
        <v>112</v>
      </c>
      <c r="H14" s="69"/>
      <c r="I14" s="70">
        <f>SUM(Q14:NR14)*9</f>
        <v>90</v>
      </c>
      <c r="J14" s="70"/>
      <c r="K14" s="29" t="s">
        <v>111</v>
      </c>
      <c r="L14" s="71">
        <v>46136</v>
      </c>
      <c r="M14" s="71">
        <v>46153</v>
      </c>
      <c r="N14" s="29"/>
      <c r="O14" s="26" t="s">
        <v>91</v>
      </c>
      <c r="P14" s="68" t="s">
        <v>1</v>
      </c>
      <c r="Q14" s="26"/>
      <c r="R14" s="26"/>
      <c r="S14" s="27"/>
      <c r="T14" s="27"/>
      <c r="U14" s="27"/>
      <c r="V14" s="26"/>
      <c r="W14" s="26"/>
      <c r="X14" s="26"/>
      <c r="Y14" s="26"/>
      <c r="Z14" s="26"/>
      <c r="AA14" s="27"/>
      <c r="AB14" s="27"/>
      <c r="AC14" s="26"/>
      <c r="AD14" s="27"/>
      <c r="AE14" s="26"/>
      <c r="AF14" s="26"/>
      <c r="AG14" s="26"/>
      <c r="AH14" s="26"/>
      <c r="AI14" s="27"/>
      <c r="AJ14" s="26"/>
      <c r="AK14" s="26"/>
      <c r="AL14" s="26"/>
      <c r="AM14" s="27"/>
      <c r="AN14" s="26">
        <v>1</v>
      </c>
      <c r="AO14" s="27"/>
      <c r="AP14" s="27"/>
      <c r="AQ14" s="26">
        <v>1</v>
      </c>
      <c r="AR14" s="26">
        <v>1</v>
      </c>
      <c r="AS14" s="26">
        <v>1</v>
      </c>
      <c r="AT14" s="26">
        <v>1</v>
      </c>
      <c r="AU14" s="27"/>
      <c r="AV14" s="27"/>
      <c r="AW14" s="27"/>
      <c r="AX14" s="26">
        <v>1</v>
      </c>
      <c r="AY14" s="26">
        <v>1</v>
      </c>
      <c r="AZ14" s="26">
        <v>1</v>
      </c>
      <c r="BA14" s="26">
        <v>1</v>
      </c>
      <c r="BB14" s="26">
        <v>1</v>
      </c>
      <c r="BC14" s="27"/>
      <c r="BD14" s="27"/>
      <c r="BE14" s="26"/>
      <c r="BF14" s="26"/>
      <c r="BG14" s="26"/>
      <c r="BH14" s="26"/>
      <c r="BI14" s="26"/>
      <c r="BJ14" s="27"/>
      <c r="BK14" s="27"/>
      <c r="BL14" s="26"/>
      <c r="BM14" s="26"/>
      <c r="BN14" s="26"/>
      <c r="BO14" s="26"/>
      <c r="BP14" s="26"/>
      <c r="BQ14" s="27"/>
      <c r="BR14" s="27"/>
      <c r="BS14" s="26"/>
      <c r="BT14" s="26"/>
      <c r="BU14" s="26"/>
      <c r="BV14" s="26"/>
      <c r="BW14" s="26"/>
      <c r="BX14" s="27"/>
      <c r="BY14" s="27"/>
      <c r="BZ14" s="27"/>
      <c r="CA14" s="26"/>
      <c r="CB14" s="26"/>
      <c r="CC14" s="26"/>
      <c r="CD14" s="26"/>
      <c r="CE14" s="26"/>
      <c r="CF14" s="27"/>
      <c r="CG14" s="27"/>
      <c r="CH14" s="26"/>
      <c r="CI14" s="26"/>
      <c r="CJ14" s="26"/>
      <c r="CK14" s="26"/>
      <c r="CL14" s="26"/>
      <c r="CM14" s="27"/>
      <c r="CN14" s="27"/>
      <c r="CO14" s="26"/>
      <c r="CP14" s="26"/>
      <c r="CQ14" s="26"/>
      <c r="CR14" s="26"/>
      <c r="CS14" s="26"/>
      <c r="CT14" s="27"/>
      <c r="CU14" s="27"/>
      <c r="CV14" s="26"/>
      <c r="CW14" s="26"/>
      <c r="CX14" s="26"/>
      <c r="CY14" s="26"/>
      <c r="CZ14" s="26"/>
      <c r="DA14" s="27"/>
      <c r="DB14" s="27"/>
      <c r="DC14" s="26"/>
      <c r="DD14" s="26"/>
      <c r="DE14" s="26"/>
      <c r="DF14" s="26"/>
      <c r="DG14" s="26"/>
      <c r="DH14" s="27"/>
      <c r="DI14" s="27"/>
      <c r="DJ14" s="26"/>
      <c r="DK14" s="26"/>
      <c r="DL14" s="26"/>
      <c r="DM14" s="26"/>
      <c r="DN14" s="26"/>
      <c r="DO14" s="27"/>
      <c r="DP14" s="27"/>
      <c r="DQ14" s="26"/>
      <c r="DR14" s="26"/>
      <c r="DS14" s="26"/>
      <c r="DT14" s="26"/>
      <c r="DU14" s="26"/>
      <c r="DV14" s="27"/>
      <c r="DW14" s="27"/>
      <c r="DX14" s="26"/>
      <c r="DY14" s="26"/>
      <c r="DZ14" s="26"/>
      <c r="EA14" s="26"/>
      <c r="EB14" s="26"/>
      <c r="EC14" s="27"/>
      <c r="ED14" s="27"/>
      <c r="EE14" s="26"/>
      <c r="EF14" s="26"/>
      <c r="EG14" s="26"/>
      <c r="EH14" s="26"/>
      <c r="EI14" s="26"/>
      <c r="EJ14" s="27"/>
      <c r="EK14" s="27"/>
      <c r="EL14" s="26"/>
      <c r="EM14" s="26"/>
      <c r="EN14" s="26"/>
      <c r="EO14" s="26"/>
      <c r="EP14" s="26"/>
      <c r="EQ14" s="27"/>
      <c r="ER14" s="27"/>
      <c r="ES14" s="26"/>
      <c r="ET14" s="26"/>
      <c r="EU14" s="26"/>
      <c r="EV14" s="26"/>
      <c r="EW14" s="27"/>
      <c r="EX14" s="27"/>
      <c r="EY14" s="27"/>
      <c r="EZ14" s="26"/>
      <c r="FA14" s="26"/>
      <c r="FB14" s="26"/>
      <c r="FC14" s="26"/>
      <c r="FD14" s="26"/>
      <c r="FE14" s="27"/>
      <c r="FF14" s="27"/>
      <c r="FG14" s="26"/>
      <c r="FH14" s="26"/>
      <c r="FI14" s="26"/>
      <c r="FJ14" s="26"/>
      <c r="FK14" s="26"/>
      <c r="FL14" s="27"/>
      <c r="FM14" s="27"/>
      <c r="FN14" s="26"/>
      <c r="FO14" s="26"/>
      <c r="FP14" s="26"/>
      <c r="FQ14" s="26"/>
      <c r="FR14" s="27"/>
      <c r="FS14" s="27"/>
      <c r="FT14" s="27"/>
      <c r="FU14" s="26"/>
      <c r="FV14" s="26"/>
      <c r="FW14" s="26"/>
      <c r="FX14" s="26"/>
      <c r="FY14" s="26"/>
      <c r="FZ14" s="27"/>
      <c r="GA14" s="27"/>
      <c r="GB14" s="26"/>
      <c r="GC14" s="26"/>
      <c r="GD14" s="26"/>
      <c r="GE14" s="26"/>
      <c r="GF14" s="26"/>
      <c r="GG14" s="27"/>
      <c r="GH14" s="27"/>
      <c r="GI14" s="26"/>
      <c r="GJ14" s="26"/>
      <c r="GK14" s="26"/>
      <c r="GL14" s="26"/>
      <c r="GM14" s="26"/>
      <c r="GN14" s="27"/>
      <c r="GO14" s="27"/>
      <c r="GP14" s="26"/>
      <c r="GQ14" s="26"/>
      <c r="GR14" s="27"/>
      <c r="GS14" s="27"/>
      <c r="GT14" s="26"/>
      <c r="GU14" s="27"/>
      <c r="GV14" s="27"/>
      <c r="GW14" s="26"/>
      <c r="GX14" s="26"/>
      <c r="GY14" s="26"/>
      <c r="GZ14" s="26"/>
      <c r="HA14" s="26"/>
      <c r="HB14" s="27"/>
      <c r="HC14" s="27"/>
      <c r="HD14" s="26"/>
      <c r="HE14" s="28"/>
      <c r="HF14" s="28"/>
      <c r="HG14" s="26"/>
      <c r="HH14" s="26"/>
      <c r="HI14" s="27"/>
      <c r="HJ14" s="27"/>
      <c r="HK14" s="27"/>
      <c r="HL14" s="28"/>
      <c r="HM14" s="28"/>
      <c r="HN14" s="26"/>
      <c r="HO14" s="26"/>
      <c r="HP14" s="27"/>
      <c r="HQ14" s="27"/>
      <c r="HR14" s="26"/>
      <c r="HS14" s="28"/>
      <c r="HT14" s="28"/>
      <c r="HU14" s="26"/>
      <c r="HV14" s="26"/>
      <c r="HW14" s="27"/>
      <c r="HX14" s="27"/>
      <c r="HY14" s="26"/>
      <c r="HZ14" s="26"/>
      <c r="IA14" s="26"/>
      <c r="IB14" s="26"/>
      <c r="IC14" s="26"/>
      <c r="ID14" s="27"/>
      <c r="IE14" s="27"/>
      <c r="IF14" s="26"/>
      <c r="IG14" s="26"/>
      <c r="IH14" s="26"/>
      <c r="II14" s="26"/>
      <c r="IJ14" s="26"/>
      <c r="IK14" s="27"/>
      <c r="IL14" s="27"/>
      <c r="IM14" s="26"/>
      <c r="IN14" s="26"/>
      <c r="IO14" s="26"/>
      <c r="IP14" s="26"/>
      <c r="IQ14" s="26"/>
      <c r="IR14" s="27"/>
      <c r="IS14" s="27"/>
      <c r="IT14" s="26"/>
      <c r="IU14" s="26"/>
      <c r="IV14" s="26"/>
      <c r="IW14" s="26"/>
      <c r="IX14" s="26"/>
      <c r="IY14" s="27"/>
      <c r="IZ14" s="27"/>
      <c r="JA14" s="26"/>
      <c r="JB14" s="26"/>
      <c r="JC14" s="26"/>
      <c r="JD14" s="26"/>
      <c r="JE14" s="26"/>
      <c r="JF14" s="27"/>
      <c r="JG14" s="27"/>
      <c r="JH14" s="26"/>
      <c r="JI14" s="26"/>
      <c r="JJ14" s="26"/>
      <c r="JK14" s="26"/>
      <c r="JL14" s="26"/>
      <c r="JM14" s="27"/>
      <c r="JN14" s="27"/>
      <c r="JO14" s="26"/>
      <c r="JP14" s="26"/>
      <c r="JQ14" s="26"/>
      <c r="JR14" s="26"/>
      <c r="JS14" s="26"/>
      <c r="JT14" s="27"/>
      <c r="JU14" s="27"/>
      <c r="JV14" s="26"/>
      <c r="JW14" s="26"/>
      <c r="JX14" s="26"/>
      <c r="JY14" s="27"/>
      <c r="JZ14" s="26"/>
      <c r="KA14" s="27"/>
      <c r="KB14" s="27"/>
      <c r="KC14" s="26"/>
      <c r="KD14" s="26"/>
      <c r="KE14" s="26"/>
      <c r="KF14" s="27"/>
      <c r="KG14" s="26"/>
      <c r="KH14" s="27"/>
      <c r="KI14" s="27"/>
      <c r="KJ14" s="26"/>
      <c r="KK14" s="26"/>
      <c r="KL14" s="26"/>
      <c r="KM14" s="26"/>
      <c r="KN14" s="26"/>
      <c r="KO14" s="27"/>
      <c r="KP14" s="27"/>
      <c r="KQ14" s="26"/>
      <c r="KR14" s="26"/>
      <c r="KS14" s="26"/>
      <c r="KT14" s="27"/>
      <c r="KU14" s="27"/>
      <c r="KV14" s="27"/>
      <c r="KW14" s="27"/>
      <c r="KX14" s="26"/>
      <c r="KY14" s="26"/>
      <c r="KZ14" s="26"/>
      <c r="LA14" s="26"/>
      <c r="LB14" s="26"/>
      <c r="LC14" s="27"/>
      <c r="LD14" s="27"/>
      <c r="LE14" s="27"/>
      <c r="LF14" s="26"/>
      <c r="LG14" s="26"/>
      <c r="LH14" s="26"/>
      <c r="LI14" s="26"/>
      <c r="LJ14" s="27"/>
      <c r="LK14" s="27"/>
      <c r="LL14" s="26"/>
      <c r="LM14" s="26"/>
      <c r="LN14" s="26"/>
      <c r="LO14" s="26"/>
      <c r="LP14" s="26"/>
      <c r="LQ14" s="27"/>
      <c r="LR14" s="27"/>
      <c r="LS14" s="26"/>
      <c r="LT14" s="26"/>
      <c r="LU14" s="26"/>
      <c r="LV14" s="26"/>
      <c r="LW14" s="26"/>
      <c r="LX14" s="27"/>
      <c r="LY14" s="27"/>
      <c r="LZ14" s="26"/>
      <c r="MA14" s="26"/>
      <c r="MB14" s="26"/>
      <c r="MC14" s="26"/>
      <c r="MD14" s="26"/>
      <c r="ME14" s="27"/>
      <c r="MF14" s="27"/>
      <c r="MG14" s="26"/>
      <c r="MH14" s="26"/>
      <c r="MI14" s="26"/>
      <c r="MJ14" s="26"/>
      <c r="MK14" s="26"/>
      <c r="ML14" s="27"/>
      <c r="MM14" s="26"/>
      <c r="MN14" s="27"/>
      <c r="MO14" s="26"/>
      <c r="MP14" s="26"/>
      <c r="MQ14" s="26"/>
      <c r="MR14" s="26"/>
      <c r="MS14" s="26"/>
      <c r="MT14" s="27"/>
      <c r="MU14" s="27"/>
      <c r="MV14" s="26"/>
      <c r="MW14" s="26"/>
      <c r="MX14" s="26"/>
      <c r="MY14" s="26"/>
      <c r="MZ14" s="26"/>
      <c r="NA14" s="27"/>
      <c r="NB14" s="27"/>
      <c r="NC14" s="26"/>
      <c r="ND14" s="26"/>
      <c r="NE14" s="26"/>
      <c r="NF14" s="26"/>
      <c r="NG14" s="26"/>
      <c r="NH14" s="27"/>
      <c r="NI14" s="27"/>
      <c r="NJ14" s="26"/>
      <c r="NK14" s="26"/>
      <c r="NL14" s="26"/>
      <c r="NM14" s="26"/>
      <c r="NN14" s="26"/>
      <c r="NO14" s="27"/>
      <c r="NP14" s="27"/>
      <c r="NQ14" s="26"/>
      <c r="NR14" s="26"/>
    </row>
    <row r="15" spans="2:382" x14ac:dyDescent="0.4">
      <c r="B15" s="23">
        <v>10</v>
      </c>
      <c r="C15" s="26" t="s">
        <v>31</v>
      </c>
      <c r="D15" s="23" t="s">
        <v>113</v>
      </c>
      <c r="E15" s="26" t="s">
        <v>32</v>
      </c>
      <c r="F15" s="26" t="s">
        <v>40</v>
      </c>
      <c r="G15" s="23" t="s">
        <v>30</v>
      </c>
      <c r="H15" s="23"/>
      <c r="I15" s="70">
        <f t="shared" ref="I15:I17" si="1">SUM(Q15:NR15)*9</f>
        <v>28.8</v>
      </c>
      <c r="J15" s="25"/>
      <c r="K15" s="26" t="s">
        <v>33</v>
      </c>
      <c r="L15" s="66">
        <v>46134</v>
      </c>
      <c r="M15" s="66" t="s">
        <v>31</v>
      </c>
      <c r="N15" s="26"/>
      <c r="O15" s="26" t="s">
        <v>36</v>
      </c>
      <c r="P15" s="73" t="s">
        <v>11</v>
      </c>
      <c r="Q15" s="26"/>
      <c r="R15" s="26"/>
      <c r="S15" s="27"/>
      <c r="T15" s="27"/>
      <c r="U15" s="27"/>
      <c r="V15" s="26"/>
      <c r="W15" s="26"/>
      <c r="X15" s="26"/>
      <c r="Y15" s="26"/>
      <c r="Z15" s="26"/>
      <c r="AA15" s="27"/>
      <c r="AB15" s="27"/>
      <c r="AC15" s="26"/>
      <c r="AD15" s="27"/>
      <c r="AE15" s="26"/>
      <c r="AF15" s="26"/>
      <c r="AG15" s="26"/>
      <c r="AH15" s="26"/>
      <c r="AI15" s="27"/>
      <c r="AJ15" s="26"/>
      <c r="AK15" s="26"/>
      <c r="AL15" s="26">
        <v>0.5</v>
      </c>
      <c r="AM15" s="27"/>
      <c r="AN15" s="26"/>
      <c r="AO15" s="27"/>
      <c r="AP15" s="27"/>
      <c r="AQ15" s="26">
        <v>0.5</v>
      </c>
      <c r="AR15" s="26">
        <v>0.5</v>
      </c>
      <c r="AS15" s="26"/>
      <c r="AT15" s="26"/>
      <c r="AU15" s="27"/>
      <c r="AV15" s="27"/>
      <c r="AW15" s="27"/>
      <c r="AX15" s="26">
        <v>0.7</v>
      </c>
      <c r="AY15" s="26">
        <v>1</v>
      </c>
      <c r="AZ15" s="26"/>
      <c r="BA15" s="26"/>
      <c r="BB15" s="26"/>
      <c r="BC15" s="27"/>
      <c r="BD15" s="27"/>
      <c r="BE15" s="26"/>
      <c r="BF15" s="26"/>
      <c r="BG15" s="26"/>
      <c r="BH15" s="26"/>
      <c r="BI15" s="26"/>
      <c r="BJ15" s="27"/>
      <c r="BK15" s="27"/>
      <c r="BL15" s="26"/>
      <c r="BM15" s="26"/>
      <c r="BN15" s="26"/>
      <c r="BO15" s="26"/>
      <c r="BP15" s="26"/>
      <c r="BQ15" s="27"/>
      <c r="BR15" s="27"/>
      <c r="BS15" s="26"/>
      <c r="BT15" s="26"/>
      <c r="BU15" s="26"/>
      <c r="BV15" s="26"/>
      <c r="BW15" s="26"/>
      <c r="BX15" s="27"/>
      <c r="BY15" s="27"/>
      <c r="BZ15" s="27"/>
      <c r="CA15" s="26"/>
      <c r="CB15" s="26"/>
      <c r="CC15" s="26"/>
      <c r="CD15" s="26"/>
      <c r="CE15" s="26"/>
      <c r="CF15" s="27"/>
      <c r="CG15" s="27"/>
      <c r="CH15" s="26"/>
      <c r="CI15" s="26"/>
      <c r="CJ15" s="26"/>
      <c r="CK15" s="26"/>
      <c r="CL15" s="26"/>
      <c r="CM15" s="27"/>
      <c r="CN15" s="27"/>
      <c r="CO15" s="26"/>
      <c r="CP15" s="26"/>
      <c r="CQ15" s="26"/>
      <c r="CR15" s="26"/>
      <c r="CS15" s="26"/>
      <c r="CT15" s="27"/>
      <c r="CU15" s="27"/>
      <c r="CV15" s="26"/>
      <c r="CW15" s="26"/>
      <c r="CX15" s="26"/>
      <c r="CY15" s="26"/>
      <c r="CZ15" s="26"/>
      <c r="DA15" s="27"/>
      <c r="DB15" s="27"/>
      <c r="DC15" s="26"/>
      <c r="DD15" s="26"/>
      <c r="DE15" s="26"/>
      <c r="DF15" s="26"/>
      <c r="DG15" s="26"/>
      <c r="DH15" s="27"/>
      <c r="DI15" s="27"/>
      <c r="DJ15" s="26"/>
      <c r="DK15" s="26"/>
      <c r="DL15" s="26"/>
      <c r="DM15" s="26"/>
      <c r="DN15" s="26"/>
      <c r="DO15" s="27"/>
      <c r="DP15" s="27"/>
      <c r="DQ15" s="26"/>
      <c r="DR15" s="26"/>
      <c r="DS15" s="26"/>
      <c r="DT15" s="26"/>
      <c r="DU15" s="26"/>
      <c r="DV15" s="27"/>
      <c r="DW15" s="27"/>
      <c r="DX15" s="26"/>
      <c r="DY15" s="26"/>
      <c r="DZ15" s="26"/>
      <c r="EA15" s="26"/>
      <c r="EB15" s="26"/>
      <c r="EC15" s="27"/>
      <c r="ED15" s="27"/>
      <c r="EE15" s="26"/>
      <c r="EF15" s="26"/>
      <c r="EG15" s="26"/>
      <c r="EH15" s="26"/>
      <c r="EI15" s="26"/>
      <c r="EJ15" s="27"/>
      <c r="EK15" s="27"/>
      <c r="EL15" s="26"/>
      <c r="EM15" s="26"/>
      <c r="EN15" s="26"/>
      <c r="EO15" s="26"/>
      <c r="EP15" s="26"/>
      <c r="EQ15" s="27"/>
      <c r="ER15" s="27"/>
      <c r="ES15" s="26"/>
      <c r="ET15" s="26"/>
      <c r="EU15" s="26"/>
      <c r="EV15" s="26"/>
      <c r="EW15" s="27"/>
      <c r="EX15" s="27"/>
      <c r="EY15" s="27"/>
      <c r="EZ15" s="26"/>
      <c r="FA15" s="26"/>
      <c r="FB15" s="26"/>
      <c r="FC15" s="26"/>
      <c r="FD15" s="26"/>
      <c r="FE15" s="27"/>
      <c r="FF15" s="27"/>
      <c r="FG15" s="26"/>
      <c r="FH15" s="26"/>
      <c r="FI15" s="26"/>
      <c r="FJ15" s="26"/>
      <c r="FK15" s="26"/>
      <c r="FL15" s="27"/>
      <c r="FM15" s="27"/>
      <c r="FN15" s="26"/>
      <c r="FO15" s="26"/>
      <c r="FP15" s="26"/>
      <c r="FQ15" s="26"/>
      <c r="FR15" s="27"/>
      <c r="FS15" s="27"/>
      <c r="FT15" s="27"/>
      <c r="FU15" s="26"/>
      <c r="FV15" s="26"/>
      <c r="FW15" s="26"/>
      <c r="FX15" s="26"/>
      <c r="FY15" s="26"/>
      <c r="FZ15" s="27"/>
      <c r="GA15" s="27"/>
      <c r="GB15" s="26"/>
      <c r="GC15" s="26"/>
      <c r="GD15" s="26"/>
      <c r="GE15" s="26"/>
      <c r="GF15" s="26"/>
      <c r="GG15" s="27"/>
      <c r="GH15" s="27"/>
      <c r="GI15" s="26"/>
      <c r="GJ15" s="26"/>
      <c r="GK15" s="26"/>
      <c r="GL15" s="26"/>
      <c r="GM15" s="26"/>
      <c r="GN15" s="27"/>
      <c r="GO15" s="27"/>
      <c r="GP15" s="26"/>
      <c r="GQ15" s="26"/>
      <c r="GR15" s="27"/>
      <c r="GS15" s="27"/>
      <c r="GT15" s="26"/>
      <c r="GU15" s="27"/>
      <c r="GV15" s="27"/>
      <c r="GW15" s="26"/>
      <c r="GX15" s="26"/>
      <c r="GY15" s="26"/>
      <c r="GZ15" s="26"/>
      <c r="HA15" s="26"/>
      <c r="HB15" s="27"/>
      <c r="HC15" s="27"/>
      <c r="HD15" s="26"/>
      <c r="HE15" s="28"/>
      <c r="HF15" s="28"/>
      <c r="HG15" s="26"/>
      <c r="HH15" s="26"/>
      <c r="HI15" s="27"/>
      <c r="HJ15" s="27"/>
      <c r="HK15" s="27"/>
      <c r="HL15" s="28"/>
      <c r="HM15" s="28"/>
      <c r="HN15" s="26"/>
      <c r="HO15" s="26"/>
      <c r="HP15" s="27"/>
      <c r="HQ15" s="27"/>
      <c r="HR15" s="26"/>
      <c r="HS15" s="28"/>
      <c r="HT15" s="28"/>
      <c r="HU15" s="26"/>
      <c r="HV15" s="26"/>
      <c r="HW15" s="27"/>
      <c r="HX15" s="27"/>
      <c r="HY15" s="26"/>
      <c r="HZ15" s="26"/>
      <c r="IA15" s="26"/>
      <c r="IB15" s="26"/>
      <c r="IC15" s="26"/>
      <c r="ID15" s="27"/>
      <c r="IE15" s="27"/>
      <c r="IF15" s="26"/>
      <c r="IG15" s="26"/>
      <c r="IH15" s="26"/>
      <c r="II15" s="26"/>
      <c r="IJ15" s="26"/>
      <c r="IK15" s="27"/>
      <c r="IL15" s="27"/>
      <c r="IM15" s="26"/>
      <c r="IN15" s="26"/>
      <c r="IO15" s="26"/>
      <c r="IP15" s="26"/>
      <c r="IQ15" s="26"/>
      <c r="IR15" s="27"/>
      <c r="IS15" s="27"/>
      <c r="IT15" s="26"/>
      <c r="IU15" s="26"/>
      <c r="IV15" s="26"/>
      <c r="IW15" s="26"/>
      <c r="IX15" s="26"/>
      <c r="IY15" s="27"/>
      <c r="IZ15" s="27"/>
      <c r="JA15" s="26"/>
      <c r="JB15" s="26"/>
      <c r="JC15" s="26"/>
      <c r="JD15" s="26"/>
      <c r="JE15" s="26"/>
      <c r="JF15" s="27"/>
      <c r="JG15" s="27"/>
      <c r="JH15" s="26"/>
      <c r="JI15" s="26"/>
      <c r="JJ15" s="26"/>
      <c r="JK15" s="26"/>
      <c r="JL15" s="26"/>
      <c r="JM15" s="27"/>
      <c r="JN15" s="27"/>
      <c r="JO15" s="26"/>
      <c r="JP15" s="26"/>
      <c r="JQ15" s="26"/>
      <c r="JR15" s="26"/>
      <c r="JS15" s="26"/>
      <c r="JT15" s="27"/>
      <c r="JU15" s="27"/>
      <c r="JV15" s="26"/>
      <c r="JW15" s="26"/>
      <c r="JX15" s="26"/>
      <c r="JY15" s="27"/>
      <c r="JZ15" s="26"/>
      <c r="KA15" s="27"/>
      <c r="KB15" s="27"/>
      <c r="KC15" s="26"/>
      <c r="KD15" s="26"/>
      <c r="KE15" s="26"/>
      <c r="KF15" s="27"/>
      <c r="KG15" s="26"/>
      <c r="KH15" s="27"/>
      <c r="KI15" s="27"/>
      <c r="KJ15" s="26"/>
      <c r="KK15" s="26"/>
      <c r="KL15" s="26"/>
      <c r="KM15" s="26"/>
      <c r="KN15" s="26"/>
      <c r="KO15" s="27"/>
      <c r="KP15" s="27"/>
      <c r="KQ15" s="26"/>
      <c r="KR15" s="26"/>
      <c r="KS15" s="26"/>
      <c r="KT15" s="27"/>
      <c r="KU15" s="27"/>
      <c r="KV15" s="27"/>
      <c r="KW15" s="27"/>
      <c r="KX15" s="26"/>
      <c r="KY15" s="26"/>
      <c r="KZ15" s="26"/>
      <c r="LA15" s="26"/>
      <c r="LB15" s="26"/>
      <c r="LC15" s="27"/>
      <c r="LD15" s="27"/>
      <c r="LE15" s="27"/>
      <c r="LF15" s="26"/>
      <c r="LG15" s="26"/>
      <c r="LH15" s="26"/>
      <c r="LI15" s="26"/>
      <c r="LJ15" s="27"/>
      <c r="LK15" s="27"/>
      <c r="LL15" s="26"/>
      <c r="LM15" s="26"/>
      <c r="LN15" s="26"/>
      <c r="LO15" s="26"/>
      <c r="LP15" s="26"/>
      <c r="LQ15" s="27"/>
      <c r="LR15" s="27"/>
      <c r="LS15" s="26"/>
      <c r="LT15" s="26"/>
      <c r="LU15" s="26"/>
      <c r="LV15" s="26"/>
      <c r="LW15" s="26"/>
      <c r="LX15" s="27"/>
      <c r="LY15" s="27"/>
      <c r="LZ15" s="26"/>
      <c r="MA15" s="26"/>
      <c r="MB15" s="26"/>
      <c r="MC15" s="26"/>
      <c r="MD15" s="26"/>
      <c r="ME15" s="27"/>
      <c r="MF15" s="27"/>
      <c r="MG15" s="26"/>
      <c r="MH15" s="26"/>
      <c r="MI15" s="26"/>
      <c r="MJ15" s="26"/>
      <c r="MK15" s="26"/>
      <c r="ML15" s="27"/>
      <c r="MM15" s="26"/>
      <c r="MN15" s="27"/>
      <c r="MO15" s="26"/>
      <c r="MP15" s="26"/>
      <c r="MQ15" s="26"/>
      <c r="MR15" s="26"/>
      <c r="MS15" s="26"/>
      <c r="MT15" s="27"/>
      <c r="MU15" s="27"/>
      <c r="MV15" s="26"/>
      <c r="MW15" s="26"/>
      <c r="MX15" s="26"/>
      <c r="MY15" s="26"/>
      <c r="MZ15" s="26"/>
      <c r="NA15" s="27"/>
      <c r="NB15" s="27"/>
      <c r="NC15" s="26"/>
      <c r="ND15" s="26"/>
      <c r="NE15" s="26"/>
      <c r="NF15" s="26"/>
      <c r="NG15" s="26"/>
      <c r="NH15" s="27"/>
      <c r="NI15" s="27"/>
      <c r="NJ15" s="26"/>
      <c r="NK15" s="26"/>
      <c r="NL15" s="26"/>
      <c r="NM15" s="26"/>
      <c r="NN15" s="26"/>
      <c r="NO15" s="27"/>
      <c r="NP15" s="27"/>
      <c r="NQ15" s="26"/>
      <c r="NR15" s="26"/>
    </row>
    <row r="16" spans="2:382" x14ac:dyDescent="0.4">
      <c r="B16" s="23">
        <v>11</v>
      </c>
      <c r="C16" s="26" t="s">
        <v>115</v>
      </c>
      <c r="D16" s="23" t="s">
        <v>116</v>
      </c>
      <c r="E16" s="26" t="s">
        <v>117</v>
      </c>
      <c r="F16" s="26" t="s">
        <v>40</v>
      </c>
      <c r="G16" s="23" t="s">
        <v>85</v>
      </c>
      <c r="H16" s="23"/>
      <c r="I16" s="70">
        <f t="shared" si="1"/>
        <v>63</v>
      </c>
      <c r="J16" s="25"/>
      <c r="K16" s="26" t="s">
        <v>86</v>
      </c>
      <c r="L16" s="66">
        <v>46149</v>
      </c>
      <c r="M16" s="66">
        <v>46157</v>
      </c>
      <c r="N16" s="26"/>
      <c r="O16" s="26" t="s">
        <v>36</v>
      </c>
      <c r="P16" s="68" t="s">
        <v>1</v>
      </c>
      <c r="Q16" s="26"/>
      <c r="R16" s="26"/>
      <c r="S16" s="27"/>
      <c r="T16" s="27"/>
      <c r="U16" s="27"/>
      <c r="V16" s="26"/>
      <c r="W16" s="26"/>
      <c r="X16" s="26"/>
      <c r="Y16" s="26"/>
      <c r="Z16" s="26"/>
      <c r="AA16" s="27"/>
      <c r="AB16" s="27"/>
      <c r="AC16" s="26"/>
      <c r="AD16" s="27"/>
      <c r="AE16" s="26"/>
      <c r="AF16" s="26"/>
      <c r="AG16" s="26"/>
      <c r="AH16" s="26"/>
      <c r="AI16" s="27"/>
      <c r="AJ16" s="26"/>
      <c r="AK16" s="26"/>
      <c r="AL16" s="26"/>
      <c r="AM16" s="27"/>
      <c r="AN16" s="26"/>
      <c r="AO16" s="27"/>
      <c r="AP16" s="27"/>
      <c r="AQ16" s="26"/>
      <c r="AR16" s="26"/>
      <c r="AS16" s="26"/>
      <c r="AT16" s="26"/>
      <c r="AU16" s="27"/>
      <c r="AV16" s="27"/>
      <c r="AW16" s="27"/>
      <c r="AX16" s="26"/>
      <c r="AY16" s="26"/>
      <c r="AZ16" s="26"/>
      <c r="BA16" s="26">
        <v>1</v>
      </c>
      <c r="BB16" s="26">
        <v>1</v>
      </c>
      <c r="BC16" s="27"/>
      <c r="BD16" s="27"/>
      <c r="BE16" s="26">
        <v>1</v>
      </c>
      <c r="BF16" s="26">
        <v>1</v>
      </c>
      <c r="BG16" s="26">
        <v>1</v>
      </c>
      <c r="BH16" s="26">
        <v>1</v>
      </c>
      <c r="BI16" s="26">
        <v>1</v>
      </c>
      <c r="BJ16" s="27"/>
      <c r="BK16" s="27"/>
      <c r="BL16" s="26"/>
      <c r="BM16" s="26"/>
      <c r="BN16" s="26"/>
      <c r="BO16" s="26"/>
      <c r="BP16" s="26"/>
      <c r="BQ16" s="27"/>
      <c r="BR16" s="27"/>
      <c r="BS16" s="26"/>
      <c r="BT16" s="26"/>
      <c r="BU16" s="26"/>
      <c r="BV16" s="26"/>
      <c r="BW16" s="26"/>
      <c r="BX16" s="27"/>
      <c r="BY16" s="27"/>
      <c r="BZ16" s="27"/>
      <c r="CA16" s="26"/>
      <c r="CB16" s="26"/>
      <c r="CC16" s="26"/>
      <c r="CD16" s="26"/>
      <c r="CE16" s="26"/>
      <c r="CF16" s="27"/>
      <c r="CG16" s="27"/>
      <c r="CH16" s="26"/>
      <c r="CI16" s="26"/>
      <c r="CJ16" s="26"/>
      <c r="CK16" s="26"/>
      <c r="CL16" s="26"/>
      <c r="CM16" s="27"/>
      <c r="CN16" s="27"/>
      <c r="CO16" s="26"/>
      <c r="CP16" s="26"/>
      <c r="CQ16" s="26"/>
      <c r="CR16" s="26"/>
      <c r="CS16" s="26"/>
      <c r="CT16" s="27"/>
      <c r="CU16" s="27"/>
      <c r="CV16" s="26"/>
      <c r="CW16" s="26"/>
      <c r="CX16" s="26"/>
      <c r="CY16" s="26"/>
      <c r="CZ16" s="26"/>
      <c r="DA16" s="27"/>
      <c r="DB16" s="27"/>
      <c r="DC16" s="26"/>
      <c r="DD16" s="26"/>
      <c r="DE16" s="26"/>
      <c r="DF16" s="26"/>
      <c r="DG16" s="26"/>
      <c r="DH16" s="27"/>
      <c r="DI16" s="27"/>
      <c r="DJ16" s="26"/>
      <c r="DK16" s="26"/>
      <c r="DL16" s="26"/>
      <c r="DM16" s="26"/>
      <c r="DN16" s="26"/>
      <c r="DO16" s="27"/>
      <c r="DP16" s="27"/>
      <c r="DQ16" s="26"/>
      <c r="DR16" s="26"/>
      <c r="DS16" s="26"/>
      <c r="DT16" s="26"/>
      <c r="DU16" s="26"/>
      <c r="DV16" s="27"/>
      <c r="DW16" s="27"/>
      <c r="DX16" s="26"/>
      <c r="DY16" s="26"/>
      <c r="DZ16" s="26"/>
      <c r="EA16" s="26"/>
      <c r="EB16" s="26"/>
      <c r="EC16" s="27"/>
      <c r="ED16" s="27"/>
      <c r="EE16" s="26"/>
      <c r="EF16" s="26"/>
      <c r="EG16" s="26"/>
      <c r="EH16" s="26"/>
      <c r="EI16" s="26"/>
      <c r="EJ16" s="27"/>
      <c r="EK16" s="27"/>
      <c r="EL16" s="26"/>
      <c r="EM16" s="26"/>
      <c r="EN16" s="26"/>
      <c r="EO16" s="26"/>
      <c r="EP16" s="26"/>
      <c r="EQ16" s="27"/>
      <c r="ER16" s="27"/>
      <c r="ES16" s="26"/>
      <c r="ET16" s="26"/>
      <c r="EU16" s="26"/>
      <c r="EV16" s="26"/>
      <c r="EW16" s="27"/>
      <c r="EX16" s="27"/>
      <c r="EY16" s="27"/>
      <c r="EZ16" s="26"/>
      <c r="FA16" s="26"/>
      <c r="FB16" s="26"/>
      <c r="FC16" s="26"/>
      <c r="FD16" s="26"/>
      <c r="FE16" s="27"/>
      <c r="FF16" s="27"/>
      <c r="FG16" s="26"/>
      <c r="FH16" s="26"/>
      <c r="FI16" s="26"/>
      <c r="FJ16" s="26"/>
      <c r="FK16" s="26"/>
      <c r="FL16" s="27"/>
      <c r="FM16" s="27"/>
      <c r="FN16" s="26"/>
      <c r="FO16" s="26"/>
      <c r="FP16" s="26"/>
      <c r="FQ16" s="26"/>
      <c r="FR16" s="27"/>
      <c r="FS16" s="27"/>
      <c r="FT16" s="27"/>
      <c r="FU16" s="26"/>
      <c r="FV16" s="26"/>
      <c r="FW16" s="26"/>
      <c r="FX16" s="26"/>
      <c r="FY16" s="26"/>
      <c r="FZ16" s="27"/>
      <c r="GA16" s="27"/>
      <c r="GB16" s="26"/>
      <c r="GC16" s="26"/>
      <c r="GD16" s="26"/>
      <c r="GE16" s="26"/>
      <c r="GF16" s="26"/>
      <c r="GG16" s="27"/>
      <c r="GH16" s="27"/>
      <c r="GI16" s="26"/>
      <c r="GJ16" s="26"/>
      <c r="GK16" s="26"/>
      <c r="GL16" s="26"/>
      <c r="GM16" s="26"/>
      <c r="GN16" s="27"/>
      <c r="GO16" s="27"/>
      <c r="GP16" s="26"/>
      <c r="GQ16" s="26"/>
      <c r="GR16" s="27"/>
      <c r="GS16" s="27"/>
      <c r="GT16" s="26"/>
      <c r="GU16" s="27"/>
      <c r="GV16" s="27"/>
      <c r="GW16" s="26"/>
      <c r="GX16" s="26"/>
      <c r="GY16" s="26"/>
      <c r="GZ16" s="26"/>
      <c r="HA16" s="26"/>
      <c r="HB16" s="27"/>
      <c r="HC16" s="27"/>
      <c r="HD16" s="26"/>
      <c r="HE16" s="28"/>
      <c r="HF16" s="28"/>
      <c r="HG16" s="26"/>
      <c r="HH16" s="26"/>
      <c r="HI16" s="27"/>
      <c r="HJ16" s="27"/>
      <c r="HK16" s="27"/>
      <c r="HL16" s="28"/>
      <c r="HM16" s="28"/>
      <c r="HN16" s="26"/>
      <c r="HO16" s="26"/>
      <c r="HP16" s="27"/>
      <c r="HQ16" s="27"/>
      <c r="HR16" s="26"/>
      <c r="HS16" s="28"/>
      <c r="HT16" s="28"/>
      <c r="HU16" s="26"/>
      <c r="HV16" s="26"/>
      <c r="HW16" s="27"/>
      <c r="HX16" s="27"/>
      <c r="HY16" s="26"/>
      <c r="HZ16" s="26"/>
      <c r="IA16" s="26"/>
      <c r="IB16" s="26"/>
      <c r="IC16" s="26"/>
      <c r="ID16" s="27"/>
      <c r="IE16" s="27"/>
      <c r="IF16" s="26"/>
      <c r="IG16" s="26"/>
      <c r="IH16" s="26"/>
      <c r="II16" s="26"/>
      <c r="IJ16" s="26"/>
      <c r="IK16" s="27"/>
      <c r="IL16" s="27"/>
      <c r="IM16" s="26"/>
      <c r="IN16" s="26"/>
      <c r="IO16" s="26"/>
      <c r="IP16" s="26"/>
      <c r="IQ16" s="26"/>
      <c r="IR16" s="27"/>
      <c r="IS16" s="27"/>
      <c r="IT16" s="26"/>
      <c r="IU16" s="26"/>
      <c r="IV16" s="26"/>
      <c r="IW16" s="26"/>
      <c r="IX16" s="26"/>
      <c r="IY16" s="27"/>
      <c r="IZ16" s="27"/>
      <c r="JA16" s="26"/>
      <c r="JB16" s="26"/>
      <c r="JC16" s="26"/>
      <c r="JD16" s="26"/>
      <c r="JE16" s="26"/>
      <c r="JF16" s="27"/>
      <c r="JG16" s="27"/>
      <c r="JH16" s="26"/>
      <c r="JI16" s="26"/>
      <c r="JJ16" s="26"/>
      <c r="JK16" s="26"/>
      <c r="JL16" s="26"/>
      <c r="JM16" s="27"/>
      <c r="JN16" s="27"/>
      <c r="JO16" s="26"/>
      <c r="JP16" s="26"/>
      <c r="JQ16" s="26"/>
      <c r="JR16" s="26"/>
      <c r="JS16" s="26"/>
      <c r="JT16" s="27"/>
      <c r="JU16" s="27"/>
      <c r="JV16" s="26"/>
      <c r="JW16" s="26"/>
      <c r="JX16" s="26"/>
      <c r="JY16" s="27"/>
      <c r="JZ16" s="26"/>
      <c r="KA16" s="27"/>
      <c r="KB16" s="27"/>
      <c r="KC16" s="26"/>
      <c r="KD16" s="26"/>
      <c r="KE16" s="26"/>
      <c r="KF16" s="27"/>
      <c r="KG16" s="26"/>
      <c r="KH16" s="27"/>
      <c r="KI16" s="27"/>
      <c r="KJ16" s="26"/>
      <c r="KK16" s="26"/>
      <c r="KL16" s="26"/>
      <c r="KM16" s="26"/>
      <c r="KN16" s="26"/>
      <c r="KO16" s="27"/>
      <c r="KP16" s="27"/>
      <c r="KQ16" s="26"/>
      <c r="KR16" s="26"/>
      <c r="KS16" s="26"/>
      <c r="KT16" s="27"/>
      <c r="KU16" s="27"/>
      <c r="KV16" s="27"/>
      <c r="KW16" s="27"/>
      <c r="KX16" s="26"/>
      <c r="KY16" s="26"/>
      <c r="KZ16" s="26"/>
      <c r="LA16" s="26"/>
      <c r="LB16" s="26"/>
      <c r="LC16" s="27"/>
      <c r="LD16" s="27"/>
      <c r="LE16" s="27"/>
      <c r="LF16" s="26"/>
      <c r="LG16" s="26"/>
      <c r="LH16" s="26"/>
      <c r="LI16" s="26"/>
      <c r="LJ16" s="27"/>
      <c r="LK16" s="27"/>
      <c r="LL16" s="26"/>
      <c r="LM16" s="26"/>
      <c r="LN16" s="26"/>
      <c r="LO16" s="26"/>
      <c r="LP16" s="26"/>
      <c r="LQ16" s="27"/>
      <c r="LR16" s="27"/>
      <c r="LS16" s="26"/>
      <c r="LT16" s="26"/>
      <c r="LU16" s="26"/>
      <c r="LV16" s="26"/>
      <c r="LW16" s="26"/>
      <c r="LX16" s="27"/>
      <c r="LY16" s="27"/>
      <c r="LZ16" s="26"/>
      <c r="MA16" s="26"/>
      <c r="MB16" s="26"/>
      <c r="MC16" s="26"/>
      <c r="MD16" s="26"/>
      <c r="ME16" s="27"/>
      <c r="MF16" s="27"/>
      <c r="MG16" s="26"/>
      <c r="MH16" s="26"/>
      <c r="MI16" s="26"/>
      <c r="MJ16" s="26"/>
      <c r="MK16" s="26"/>
      <c r="ML16" s="27"/>
      <c r="MM16" s="26"/>
      <c r="MN16" s="27"/>
      <c r="MO16" s="26"/>
      <c r="MP16" s="26"/>
      <c r="MQ16" s="26"/>
      <c r="MR16" s="26"/>
      <c r="MS16" s="26"/>
      <c r="MT16" s="27"/>
      <c r="MU16" s="27"/>
      <c r="MV16" s="26"/>
      <c r="MW16" s="26"/>
      <c r="MX16" s="26"/>
      <c r="MY16" s="26"/>
      <c r="MZ16" s="26"/>
      <c r="NA16" s="27"/>
      <c r="NB16" s="27"/>
      <c r="NC16" s="26"/>
      <c r="ND16" s="26"/>
      <c r="NE16" s="26"/>
      <c r="NF16" s="26"/>
      <c r="NG16" s="26"/>
      <c r="NH16" s="27"/>
      <c r="NI16" s="27"/>
      <c r="NJ16" s="26"/>
      <c r="NK16" s="26"/>
      <c r="NL16" s="26"/>
      <c r="NM16" s="26"/>
      <c r="NN16" s="26"/>
      <c r="NO16" s="27"/>
      <c r="NP16" s="27"/>
      <c r="NQ16" s="26"/>
      <c r="NR16" s="26"/>
    </row>
    <row r="17" spans="2:382" x14ac:dyDescent="0.4">
      <c r="B17" s="23">
        <v>12</v>
      </c>
      <c r="C17" s="26" t="s">
        <v>120</v>
      </c>
      <c r="D17" s="23" t="s">
        <v>118</v>
      </c>
      <c r="E17" s="26" t="s">
        <v>117</v>
      </c>
      <c r="F17" s="26" t="s">
        <v>40</v>
      </c>
      <c r="G17" s="23" t="s">
        <v>85</v>
      </c>
      <c r="H17" s="23"/>
      <c r="I17" s="70">
        <f t="shared" si="1"/>
        <v>4.5</v>
      </c>
      <c r="J17" s="25"/>
      <c r="K17" s="26" t="s">
        <v>86</v>
      </c>
      <c r="L17" s="66">
        <v>46149</v>
      </c>
      <c r="M17" s="66">
        <v>46157</v>
      </c>
      <c r="N17" s="26" t="s">
        <v>119</v>
      </c>
      <c r="O17" s="26" t="s">
        <v>36</v>
      </c>
      <c r="P17" s="73" t="s">
        <v>11</v>
      </c>
      <c r="Q17" s="26"/>
      <c r="R17" s="26"/>
      <c r="S17" s="27"/>
      <c r="T17" s="27"/>
      <c r="U17" s="27"/>
      <c r="V17" s="26"/>
      <c r="W17" s="26"/>
      <c r="X17" s="26"/>
      <c r="Y17" s="26"/>
      <c r="Z17" s="26"/>
      <c r="AA17" s="27"/>
      <c r="AB17" s="27"/>
      <c r="AC17" s="26"/>
      <c r="AD17" s="27"/>
      <c r="AE17" s="26"/>
      <c r="AF17" s="26"/>
      <c r="AG17" s="26"/>
      <c r="AH17" s="26"/>
      <c r="AI17" s="27"/>
      <c r="AJ17" s="26"/>
      <c r="AK17" s="26"/>
      <c r="AL17" s="26"/>
      <c r="AM17" s="27"/>
      <c r="AN17" s="26"/>
      <c r="AO17" s="27"/>
      <c r="AP17" s="27"/>
      <c r="AQ17" s="26"/>
      <c r="AR17" s="26"/>
      <c r="AS17" s="26"/>
      <c r="AT17" s="26"/>
      <c r="AU17" s="27"/>
      <c r="AV17" s="27"/>
      <c r="AW17" s="27"/>
      <c r="AX17" s="26"/>
      <c r="AY17" s="26"/>
      <c r="AZ17" s="26"/>
      <c r="BA17" s="26"/>
      <c r="BB17" s="26"/>
      <c r="BC17" s="27"/>
      <c r="BD17" s="27"/>
      <c r="BE17" s="26"/>
      <c r="BF17" s="26"/>
      <c r="BG17" s="26"/>
      <c r="BH17" s="26"/>
      <c r="BI17" s="26"/>
      <c r="BJ17" s="27"/>
      <c r="BK17" s="27"/>
      <c r="BL17" s="26">
        <v>0.5</v>
      </c>
      <c r="BM17" s="26"/>
      <c r="BN17" s="26"/>
      <c r="BO17" s="26"/>
      <c r="BP17" s="26"/>
      <c r="BQ17" s="27"/>
      <c r="BR17" s="27"/>
      <c r="BS17" s="26"/>
      <c r="BT17" s="26"/>
      <c r="BU17" s="26"/>
      <c r="BV17" s="26"/>
      <c r="BW17" s="26"/>
      <c r="BX17" s="27"/>
      <c r="BY17" s="27"/>
      <c r="BZ17" s="27"/>
      <c r="CA17" s="26"/>
      <c r="CB17" s="26"/>
      <c r="CC17" s="26"/>
      <c r="CD17" s="26"/>
      <c r="CE17" s="26"/>
      <c r="CF17" s="27"/>
      <c r="CG17" s="27"/>
      <c r="CH17" s="26"/>
      <c r="CI17" s="26"/>
      <c r="CJ17" s="26"/>
      <c r="CK17" s="26"/>
      <c r="CL17" s="26"/>
      <c r="CM17" s="27"/>
      <c r="CN17" s="27"/>
      <c r="CO17" s="26"/>
      <c r="CP17" s="26"/>
      <c r="CQ17" s="26"/>
      <c r="CR17" s="26"/>
      <c r="CS17" s="26"/>
      <c r="CT17" s="27"/>
      <c r="CU17" s="27"/>
      <c r="CV17" s="26"/>
      <c r="CW17" s="26"/>
      <c r="CX17" s="26"/>
      <c r="CY17" s="26"/>
      <c r="CZ17" s="26"/>
      <c r="DA17" s="27"/>
      <c r="DB17" s="27"/>
      <c r="DC17" s="26"/>
      <c r="DD17" s="26"/>
      <c r="DE17" s="26"/>
      <c r="DF17" s="26"/>
      <c r="DG17" s="26"/>
      <c r="DH17" s="27"/>
      <c r="DI17" s="27"/>
      <c r="DJ17" s="26"/>
      <c r="DK17" s="26"/>
      <c r="DL17" s="26"/>
      <c r="DM17" s="26"/>
      <c r="DN17" s="26"/>
      <c r="DO17" s="27"/>
      <c r="DP17" s="27"/>
      <c r="DQ17" s="26"/>
      <c r="DR17" s="26"/>
      <c r="DS17" s="26"/>
      <c r="DT17" s="26"/>
      <c r="DU17" s="26"/>
      <c r="DV17" s="27"/>
      <c r="DW17" s="27"/>
      <c r="DX17" s="26"/>
      <c r="DY17" s="26"/>
      <c r="DZ17" s="26"/>
      <c r="EA17" s="26"/>
      <c r="EB17" s="26"/>
      <c r="EC17" s="27"/>
      <c r="ED17" s="27"/>
      <c r="EE17" s="26"/>
      <c r="EF17" s="26"/>
      <c r="EG17" s="26"/>
      <c r="EH17" s="26"/>
      <c r="EI17" s="26"/>
      <c r="EJ17" s="27"/>
      <c r="EK17" s="27"/>
      <c r="EL17" s="26"/>
      <c r="EM17" s="26"/>
      <c r="EN17" s="26"/>
      <c r="EO17" s="26"/>
      <c r="EP17" s="26"/>
      <c r="EQ17" s="27"/>
      <c r="ER17" s="27"/>
      <c r="ES17" s="26"/>
      <c r="ET17" s="26"/>
      <c r="EU17" s="26"/>
      <c r="EV17" s="26"/>
      <c r="EW17" s="27"/>
      <c r="EX17" s="27"/>
      <c r="EY17" s="27"/>
      <c r="EZ17" s="26"/>
      <c r="FA17" s="26"/>
      <c r="FB17" s="26"/>
      <c r="FC17" s="26"/>
      <c r="FD17" s="26"/>
      <c r="FE17" s="27"/>
      <c r="FF17" s="27"/>
      <c r="FG17" s="26"/>
      <c r="FH17" s="26"/>
      <c r="FI17" s="26"/>
      <c r="FJ17" s="26"/>
      <c r="FK17" s="26"/>
      <c r="FL17" s="27"/>
      <c r="FM17" s="27"/>
      <c r="FN17" s="26"/>
      <c r="FO17" s="26"/>
      <c r="FP17" s="26"/>
      <c r="FQ17" s="26"/>
      <c r="FR17" s="27"/>
      <c r="FS17" s="27"/>
      <c r="FT17" s="27"/>
      <c r="FU17" s="26"/>
      <c r="FV17" s="26"/>
      <c r="FW17" s="26"/>
      <c r="FX17" s="26"/>
      <c r="FY17" s="26"/>
      <c r="FZ17" s="27"/>
      <c r="GA17" s="27"/>
      <c r="GB17" s="26"/>
      <c r="GC17" s="26"/>
      <c r="GD17" s="26"/>
      <c r="GE17" s="26"/>
      <c r="GF17" s="26"/>
      <c r="GG17" s="27"/>
      <c r="GH17" s="27"/>
      <c r="GI17" s="26"/>
      <c r="GJ17" s="26"/>
      <c r="GK17" s="26"/>
      <c r="GL17" s="26"/>
      <c r="GM17" s="26"/>
      <c r="GN17" s="27"/>
      <c r="GO17" s="27"/>
      <c r="GP17" s="26"/>
      <c r="GQ17" s="26"/>
      <c r="GR17" s="27"/>
      <c r="GS17" s="27"/>
      <c r="GT17" s="26"/>
      <c r="GU17" s="27"/>
      <c r="GV17" s="27"/>
      <c r="GW17" s="26"/>
      <c r="GX17" s="26"/>
      <c r="GY17" s="26"/>
      <c r="GZ17" s="26"/>
      <c r="HA17" s="26"/>
      <c r="HB17" s="27"/>
      <c r="HC17" s="27"/>
      <c r="HD17" s="26"/>
      <c r="HE17" s="28"/>
      <c r="HF17" s="28"/>
      <c r="HG17" s="26"/>
      <c r="HH17" s="26"/>
      <c r="HI17" s="27"/>
      <c r="HJ17" s="27"/>
      <c r="HK17" s="27"/>
      <c r="HL17" s="28"/>
      <c r="HM17" s="28"/>
      <c r="HN17" s="26"/>
      <c r="HO17" s="26"/>
      <c r="HP17" s="27"/>
      <c r="HQ17" s="27"/>
      <c r="HR17" s="26"/>
      <c r="HS17" s="28"/>
      <c r="HT17" s="28"/>
      <c r="HU17" s="26"/>
      <c r="HV17" s="26"/>
      <c r="HW17" s="27"/>
      <c r="HX17" s="27"/>
      <c r="HY17" s="26"/>
      <c r="HZ17" s="26"/>
      <c r="IA17" s="26"/>
      <c r="IB17" s="26"/>
      <c r="IC17" s="26"/>
      <c r="ID17" s="27"/>
      <c r="IE17" s="27"/>
      <c r="IF17" s="26"/>
      <c r="IG17" s="26"/>
      <c r="IH17" s="26"/>
      <c r="II17" s="26"/>
      <c r="IJ17" s="26"/>
      <c r="IK17" s="27"/>
      <c r="IL17" s="27"/>
      <c r="IM17" s="26"/>
      <c r="IN17" s="26"/>
      <c r="IO17" s="26"/>
      <c r="IP17" s="26"/>
      <c r="IQ17" s="26"/>
      <c r="IR17" s="27"/>
      <c r="IS17" s="27"/>
      <c r="IT17" s="26"/>
      <c r="IU17" s="26"/>
      <c r="IV17" s="26"/>
      <c r="IW17" s="26"/>
      <c r="IX17" s="26"/>
      <c r="IY17" s="27"/>
      <c r="IZ17" s="27"/>
      <c r="JA17" s="26"/>
      <c r="JB17" s="26"/>
      <c r="JC17" s="26"/>
      <c r="JD17" s="26"/>
      <c r="JE17" s="26"/>
      <c r="JF17" s="27"/>
      <c r="JG17" s="27"/>
      <c r="JH17" s="26"/>
      <c r="JI17" s="26"/>
      <c r="JJ17" s="26"/>
      <c r="JK17" s="26"/>
      <c r="JL17" s="26"/>
      <c r="JM17" s="27"/>
      <c r="JN17" s="27"/>
      <c r="JO17" s="26"/>
      <c r="JP17" s="26"/>
      <c r="JQ17" s="26"/>
      <c r="JR17" s="26"/>
      <c r="JS17" s="26"/>
      <c r="JT17" s="27"/>
      <c r="JU17" s="27"/>
      <c r="JV17" s="26"/>
      <c r="JW17" s="26"/>
      <c r="JX17" s="26"/>
      <c r="JY17" s="27"/>
      <c r="JZ17" s="26"/>
      <c r="KA17" s="27"/>
      <c r="KB17" s="27"/>
      <c r="KC17" s="26"/>
      <c r="KD17" s="26"/>
      <c r="KE17" s="26"/>
      <c r="KF17" s="27"/>
      <c r="KG17" s="26"/>
      <c r="KH17" s="27"/>
      <c r="KI17" s="27"/>
      <c r="KJ17" s="26"/>
      <c r="KK17" s="26"/>
      <c r="KL17" s="26"/>
      <c r="KM17" s="26"/>
      <c r="KN17" s="26"/>
      <c r="KO17" s="27"/>
      <c r="KP17" s="27"/>
      <c r="KQ17" s="26"/>
      <c r="KR17" s="26"/>
      <c r="KS17" s="26"/>
      <c r="KT17" s="27"/>
      <c r="KU17" s="27"/>
      <c r="KV17" s="27"/>
      <c r="KW17" s="27"/>
      <c r="KX17" s="26"/>
      <c r="KY17" s="26"/>
      <c r="KZ17" s="26"/>
      <c r="LA17" s="26"/>
      <c r="LB17" s="26"/>
      <c r="LC17" s="27"/>
      <c r="LD17" s="27"/>
      <c r="LE17" s="27"/>
      <c r="LF17" s="26"/>
      <c r="LG17" s="26"/>
      <c r="LH17" s="26"/>
      <c r="LI17" s="26"/>
      <c r="LJ17" s="27"/>
      <c r="LK17" s="27"/>
      <c r="LL17" s="26"/>
      <c r="LM17" s="26"/>
      <c r="LN17" s="26"/>
      <c r="LO17" s="26"/>
      <c r="LP17" s="26"/>
      <c r="LQ17" s="27"/>
      <c r="LR17" s="27"/>
      <c r="LS17" s="26"/>
      <c r="LT17" s="26"/>
      <c r="LU17" s="26"/>
      <c r="LV17" s="26"/>
      <c r="LW17" s="26"/>
      <c r="LX17" s="27"/>
      <c r="LY17" s="27"/>
      <c r="LZ17" s="26"/>
      <c r="MA17" s="26"/>
      <c r="MB17" s="26"/>
      <c r="MC17" s="26"/>
      <c r="MD17" s="26"/>
      <c r="ME17" s="27"/>
      <c r="MF17" s="27"/>
      <c r="MG17" s="26"/>
      <c r="MH17" s="26"/>
      <c r="MI17" s="26"/>
      <c r="MJ17" s="26"/>
      <c r="MK17" s="26"/>
      <c r="ML17" s="27"/>
      <c r="MM17" s="26"/>
      <c r="MN17" s="27"/>
      <c r="MO17" s="26"/>
      <c r="MP17" s="26"/>
      <c r="MQ17" s="26"/>
      <c r="MR17" s="26"/>
      <c r="MS17" s="26"/>
      <c r="MT17" s="27"/>
      <c r="MU17" s="27"/>
      <c r="MV17" s="26"/>
      <c r="MW17" s="26"/>
      <c r="MX17" s="26"/>
      <c r="MY17" s="26"/>
      <c r="MZ17" s="26"/>
      <c r="NA17" s="27"/>
      <c r="NB17" s="27"/>
      <c r="NC17" s="26"/>
      <c r="ND17" s="26"/>
      <c r="NE17" s="26"/>
      <c r="NF17" s="26"/>
      <c r="NG17" s="26"/>
      <c r="NH17" s="27"/>
      <c r="NI17" s="27"/>
      <c r="NJ17" s="26"/>
      <c r="NK17" s="26"/>
      <c r="NL17" s="26"/>
      <c r="NM17" s="26"/>
      <c r="NN17" s="26"/>
      <c r="NO17" s="27"/>
      <c r="NP17" s="27"/>
      <c r="NQ17" s="26"/>
      <c r="NR17" s="26"/>
    </row>
    <row r="18" spans="2:382" ht="36.950000000000003" customHeight="1" x14ac:dyDescent="0.4">
      <c r="H18" s="67">
        <f>SUM(H6:H12)</f>
        <v>1176</v>
      </c>
      <c r="I18" s="67">
        <f>SUM(I6:I12)</f>
        <v>791.55</v>
      </c>
      <c r="J18" s="29"/>
      <c r="K18" s="29"/>
      <c r="L18" s="29"/>
      <c r="M18" s="29"/>
      <c r="N18" s="29"/>
      <c r="O18" s="29"/>
      <c r="P18" s="29"/>
      <c r="Q18" s="26">
        <f>SUM(Q6:Q11)</f>
        <v>2</v>
      </c>
      <c r="R18" s="26">
        <f t="shared" ref="R18:W18" si="2">SUM(R6:R11)</f>
        <v>2</v>
      </c>
      <c r="S18" s="26">
        <f t="shared" si="2"/>
        <v>0</v>
      </c>
      <c r="T18" s="26">
        <f t="shared" si="2"/>
        <v>0</v>
      </c>
      <c r="U18" s="26">
        <f t="shared" si="2"/>
        <v>0</v>
      </c>
      <c r="V18" s="26">
        <f t="shared" si="2"/>
        <v>3</v>
      </c>
      <c r="W18" s="26">
        <f t="shared" si="2"/>
        <v>3</v>
      </c>
      <c r="X18" s="26">
        <f t="shared" ref="X18" si="3">SUM(X6:X11)</f>
        <v>3.5</v>
      </c>
      <c r="Y18" s="26">
        <f t="shared" ref="Y18" si="4">SUM(Y6:Y11)</f>
        <v>3</v>
      </c>
      <c r="Z18" s="26">
        <f t="shared" ref="Z18" si="5">SUM(Z6:Z11)</f>
        <v>3</v>
      </c>
      <c r="AA18" s="26">
        <f t="shared" ref="AA18" si="6">SUM(AA6:AA11)</f>
        <v>0</v>
      </c>
      <c r="AB18" s="26">
        <f t="shared" ref="AB18:AC18" si="7">SUM(AB6:AB11)</f>
        <v>0</v>
      </c>
      <c r="AC18" s="26">
        <f t="shared" si="7"/>
        <v>3</v>
      </c>
      <c r="AD18" s="26">
        <f t="shared" ref="AD18" si="8">SUM(AD6:AD11)</f>
        <v>0</v>
      </c>
      <c r="AE18" s="26">
        <f t="shared" ref="AE18" si="9">SUM(AE6:AE11)</f>
        <v>2.5</v>
      </c>
      <c r="AF18" s="26">
        <f t="shared" ref="AF18" si="10">SUM(AF6:AF11)</f>
        <v>3</v>
      </c>
      <c r="AG18" s="26">
        <f t="shared" ref="AG18" si="11">SUM(AG6:AG11)</f>
        <v>3</v>
      </c>
      <c r="AH18" s="26">
        <f t="shared" ref="AH18:AI18" si="12">SUM(AH6:AH11)</f>
        <v>3</v>
      </c>
      <c r="AI18" s="26">
        <f t="shared" si="12"/>
        <v>0</v>
      </c>
      <c r="AJ18" s="26">
        <f>SUM(AJ6:AJ16)</f>
        <v>4</v>
      </c>
      <c r="AK18" s="26">
        <f t="shared" ref="AK18:BI18" si="13">SUM(AK6:AK16)</f>
        <v>4</v>
      </c>
      <c r="AL18" s="26">
        <f t="shared" si="13"/>
        <v>3.5</v>
      </c>
      <c r="AM18" s="26">
        <f t="shared" si="13"/>
        <v>0</v>
      </c>
      <c r="AN18" s="26">
        <f t="shared" si="13"/>
        <v>2.95</v>
      </c>
      <c r="AO18" s="26">
        <f t="shared" si="13"/>
        <v>0</v>
      </c>
      <c r="AP18" s="26">
        <f t="shared" si="13"/>
        <v>0</v>
      </c>
      <c r="AQ18" s="26">
        <f t="shared" si="13"/>
        <v>4</v>
      </c>
      <c r="AR18" s="26">
        <f t="shared" si="13"/>
        <v>4</v>
      </c>
      <c r="AS18" s="26">
        <f t="shared" si="13"/>
        <v>2.5</v>
      </c>
      <c r="AT18" s="26">
        <f t="shared" si="13"/>
        <v>3.5</v>
      </c>
      <c r="AU18" s="26">
        <f t="shared" si="13"/>
        <v>0</v>
      </c>
      <c r="AV18" s="26">
        <f t="shared" si="13"/>
        <v>0</v>
      </c>
      <c r="AW18" s="26">
        <f t="shared" si="13"/>
        <v>0</v>
      </c>
      <c r="AX18" s="26">
        <f t="shared" si="13"/>
        <v>3.7</v>
      </c>
      <c r="AY18" s="26">
        <f t="shared" si="13"/>
        <v>4.5</v>
      </c>
      <c r="AZ18" s="26">
        <f t="shared" si="13"/>
        <v>4</v>
      </c>
      <c r="BA18" s="26">
        <f t="shared" si="13"/>
        <v>3.5</v>
      </c>
      <c r="BB18" s="26">
        <f t="shared" si="13"/>
        <v>3.5</v>
      </c>
      <c r="BC18" s="26">
        <f t="shared" si="13"/>
        <v>0</v>
      </c>
      <c r="BD18" s="26">
        <f t="shared" si="13"/>
        <v>0</v>
      </c>
      <c r="BE18" s="26">
        <f t="shared" si="13"/>
        <v>2.8</v>
      </c>
      <c r="BF18" s="26">
        <f t="shared" si="13"/>
        <v>3.5</v>
      </c>
      <c r="BG18" s="26">
        <f t="shared" si="13"/>
        <v>3.5</v>
      </c>
      <c r="BH18" s="26">
        <f t="shared" si="13"/>
        <v>2.5</v>
      </c>
      <c r="BI18" s="26">
        <f t="shared" si="13"/>
        <v>2.5</v>
      </c>
      <c r="BJ18" s="26">
        <f t="shared" ref="BJ18:BK18" si="14">SUM(BJ6:BJ14)</f>
        <v>0</v>
      </c>
      <c r="BK18" s="26">
        <f t="shared" si="14"/>
        <v>0</v>
      </c>
      <c r="BL18" s="26">
        <f>SUM(BL6:BL17)</f>
        <v>2.5</v>
      </c>
      <c r="BM18" s="26">
        <f t="shared" ref="BM18:DX18" si="15">SUM(BM6:BM17)</f>
        <v>2.9</v>
      </c>
      <c r="BN18" s="26">
        <f t="shared" si="15"/>
        <v>2.9</v>
      </c>
      <c r="BO18" s="26">
        <f t="shared" si="15"/>
        <v>2</v>
      </c>
      <c r="BP18" s="26">
        <f t="shared" si="15"/>
        <v>2.9</v>
      </c>
      <c r="BQ18" s="26">
        <f t="shared" si="15"/>
        <v>0</v>
      </c>
      <c r="BR18" s="26">
        <f t="shared" si="15"/>
        <v>0</v>
      </c>
      <c r="BS18" s="26">
        <f t="shared" si="15"/>
        <v>0</v>
      </c>
      <c r="BT18" s="26">
        <f t="shared" si="15"/>
        <v>0</v>
      </c>
      <c r="BU18" s="26">
        <f t="shared" si="15"/>
        <v>0</v>
      </c>
      <c r="BV18" s="26">
        <f t="shared" si="15"/>
        <v>0</v>
      </c>
      <c r="BW18" s="26">
        <f t="shared" si="15"/>
        <v>0</v>
      </c>
      <c r="BX18" s="26">
        <f t="shared" si="15"/>
        <v>0</v>
      </c>
      <c r="BY18" s="26">
        <f t="shared" si="15"/>
        <v>0</v>
      </c>
      <c r="BZ18" s="26">
        <f t="shared" si="15"/>
        <v>0</v>
      </c>
      <c r="CA18" s="26">
        <f t="shared" si="15"/>
        <v>0</v>
      </c>
      <c r="CB18" s="26">
        <f t="shared" si="15"/>
        <v>0</v>
      </c>
      <c r="CC18" s="26">
        <f t="shared" si="15"/>
        <v>0</v>
      </c>
      <c r="CD18" s="26">
        <f t="shared" si="15"/>
        <v>0</v>
      </c>
      <c r="CE18" s="26">
        <f t="shared" si="15"/>
        <v>0</v>
      </c>
      <c r="CF18" s="26">
        <f t="shared" si="15"/>
        <v>0</v>
      </c>
      <c r="CG18" s="26">
        <f t="shared" si="15"/>
        <v>0</v>
      </c>
      <c r="CH18" s="26">
        <f t="shared" si="15"/>
        <v>0</v>
      </c>
      <c r="CI18" s="26">
        <f t="shared" si="15"/>
        <v>0</v>
      </c>
      <c r="CJ18" s="26">
        <f t="shared" si="15"/>
        <v>0</v>
      </c>
      <c r="CK18" s="26">
        <f t="shared" si="15"/>
        <v>0</v>
      </c>
      <c r="CL18" s="26">
        <f t="shared" si="15"/>
        <v>0</v>
      </c>
      <c r="CM18" s="26">
        <f t="shared" si="15"/>
        <v>0</v>
      </c>
      <c r="CN18" s="26">
        <f t="shared" si="15"/>
        <v>0</v>
      </c>
      <c r="CO18" s="26">
        <f t="shared" si="15"/>
        <v>0</v>
      </c>
      <c r="CP18" s="26">
        <f t="shared" si="15"/>
        <v>0</v>
      </c>
      <c r="CQ18" s="26">
        <f t="shared" si="15"/>
        <v>0</v>
      </c>
      <c r="CR18" s="26">
        <f t="shared" si="15"/>
        <v>0</v>
      </c>
      <c r="CS18" s="26">
        <f t="shared" si="15"/>
        <v>0</v>
      </c>
      <c r="CT18" s="26">
        <f t="shared" si="15"/>
        <v>0</v>
      </c>
      <c r="CU18" s="26">
        <f t="shared" si="15"/>
        <v>0</v>
      </c>
      <c r="CV18" s="26">
        <f t="shared" si="15"/>
        <v>0</v>
      </c>
      <c r="CW18" s="26">
        <f t="shared" si="15"/>
        <v>0</v>
      </c>
      <c r="CX18" s="26">
        <f t="shared" si="15"/>
        <v>0</v>
      </c>
      <c r="CY18" s="26">
        <f t="shared" si="15"/>
        <v>0</v>
      </c>
      <c r="CZ18" s="26">
        <f t="shared" si="15"/>
        <v>0</v>
      </c>
      <c r="DA18" s="26">
        <f t="shared" si="15"/>
        <v>0</v>
      </c>
      <c r="DB18" s="26">
        <f t="shared" si="15"/>
        <v>0</v>
      </c>
      <c r="DC18" s="26">
        <f t="shared" si="15"/>
        <v>0</v>
      </c>
      <c r="DD18" s="26">
        <f t="shared" si="15"/>
        <v>0</v>
      </c>
      <c r="DE18" s="26">
        <f t="shared" si="15"/>
        <v>0</v>
      </c>
      <c r="DF18" s="26">
        <f t="shared" si="15"/>
        <v>0</v>
      </c>
      <c r="DG18" s="26">
        <f t="shared" si="15"/>
        <v>0</v>
      </c>
      <c r="DH18" s="26">
        <f t="shared" si="15"/>
        <v>0</v>
      </c>
      <c r="DI18" s="26">
        <f t="shared" si="15"/>
        <v>0</v>
      </c>
      <c r="DJ18" s="26">
        <f t="shared" si="15"/>
        <v>0</v>
      </c>
      <c r="DK18" s="26">
        <f t="shared" si="15"/>
        <v>0</v>
      </c>
      <c r="DL18" s="26">
        <f t="shared" si="15"/>
        <v>0</v>
      </c>
      <c r="DM18" s="26">
        <f t="shared" si="15"/>
        <v>0</v>
      </c>
      <c r="DN18" s="26">
        <f t="shared" si="15"/>
        <v>0</v>
      </c>
      <c r="DO18" s="26">
        <f t="shared" si="15"/>
        <v>0</v>
      </c>
      <c r="DP18" s="26">
        <f t="shared" si="15"/>
        <v>0</v>
      </c>
      <c r="DQ18" s="26">
        <f t="shared" si="15"/>
        <v>0</v>
      </c>
      <c r="DR18" s="26">
        <f t="shared" si="15"/>
        <v>0</v>
      </c>
      <c r="DS18" s="26">
        <f t="shared" si="15"/>
        <v>0</v>
      </c>
      <c r="DT18" s="26">
        <f t="shared" si="15"/>
        <v>0</v>
      </c>
      <c r="DU18" s="26">
        <f t="shared" si="15"/>
        <v>0</v>
      </c>
      <c r="DV18" s="26">
        <f t="shared" si="15"/>
        <v>0</v>
      </c>
      <c r="DW18" s="26">
        <f t="shared" si="15"/>
        <v>0</v>
      </c>
      <c r="DX18" s="26">
        <f t="shared" si="15"/>
        <v>0</v>
      </c>
      <c r="DY18" s="26">
        <f t="shared" ref="DY18:GJ18" si="16">SUM(DY6:DY17)</f>
        <v>0</v>
      </c>
      <c r="DZ18" s="26">
        <f t="shared" si="16"/>
        <v>0</v>
      </c>
      <c r="EA18" s="26">
        <f t="shared" si="16"/>
        <v>0</v>
      </c>
      <c r="EB18" s="26">
        <f t="shared" si="16"/>
        <v>0</v>
      </c>
      <c r="EC18" s="26">
        <f t="shared" si="16"/>
        <v>0</v>
      </c>
      <c r="ED18" s="26">
        <f t="shared" si="16"/>
        <v>0</v>
      </c>
      <c r="EE18" s="26">
        <f t="shared" si="16"/>
        <v>0</v>
      </c>
      <c r="EF18" s="26">
        <f t="shared" si="16"/>
        <v>0</v>
      </c>
      <c r="EG18" s="26">
        <f t="shared" si="16"/>
        <v>0</v>
      </c>
      <c r="EH18" s="26">
        <f t="shared" si="16"/>
        <v>0</v>
      </c>
      <c r="EI18" s="26">
        <f t="shared" si="16"/>
        <v>0</v>
      </c>
      <c r="EJ18" s="26">
        <f t="shared" si="16"/>
        <v>0</v>
      </c>
      <c r="EK18" s="26">
        <f t="shared" si="16"/>
        <v>0</v>
      </c>
      <c r="EL18" s="26">
        <f t="shared" si="16"/>
        <v>0</v>
      </c>
      <c r="EM18" s="26">
        <f t="shared" si="16"/>
        <v>0</v>
      </c>
      <c r="EN18" s="26">
        <f t="shared" si="16"/>
        <v>0</v>
      </c>
      <c r="EO18" s="26">
        <f t="shared" si="16"/>
        <v>0</v>
      </c>
      <c r="EP18" s="26">
        <f t="shared" si="16"/>
        <v>0</v>
      </c>
      <c r="EQ18" s="26">
        <f t="shared" si="16"/>
        <v>0</v>
      </c>
      <c r="ER18" s="26">
        <f t="shared" si="16"/>
        <v>0</v>
      </c>
      <c r="ES18" s="26">
        <f t="shared" si="16"/>
        <v>0</v>
      </c>
      <c r="ET18" s="26">
        <f t="shared" si="16"/>
        <v>0</v>
      </c>
      <c r="EU18" s="26">
        <f t="shared" si="16"/>
        <v>0</v>
      </c>
      <c r="EV18" s="26">
        <f t="shared" si="16"/>
        <v>0</v>
      </c>
      <c r="EW18" s="26">
        <f t="shared" si="16"/>
        <v>0</v>
      </c>
      <c r="EX18" s="26">
        <f t="shared" si="16"/>
        <v>0</v>
      </c>
      <c r="EY18" s="26">
        <f t="shared" si="16"/>
        <v>0</v>
      </c>
      <c r="EZ18" s="26">
        <f t="shared" si="16"/>
        <v>0</v>
      </c>
      <c r="FA18" s="26">
        <f t="shared" si="16"/>
        <v>0</v>
      </c>
      <c r="FB18" s="26">
        <f t="shared" si="16"/>
        <v>0</v>
      </c>
      <c r="FC18" s="26">
        <f t="shared" si="16"/>
        <v>0</v>
      </c>
      <c r="FD18" s="26">
        <f t="shared" si="16"/>
        <v>0</v>
      </c>
      <c r="FE18" s="26">
        <f t="shared" si="16"/>
        <v>0</v>
      </c>
      <c r="FF18" s="26">
        <f t="shared" si="16"/>
        <v>0</v>
      </c>
      <c r="FG18" s="26">
        <f t="shared" si="16"/>
        <v>0</v>
      </c>
      <c r="FH18" s="26">
        <f t="shared" si="16"/>
        <v>0</v>
      </c>
      <c r="FI18" s="26">
        <f t="shared" si="16"/>
        <v>0</v>
      </c>
      <c r="FJ18" s="26">
        <f t="shared" si="16"/>
        <v>0</v>
      </c>
      <c r="FK18" s="26">
        <f t="shared" si="16"/>
        <v>0</v>
      </c>
      <c r="FL18" s="26">
        <f t="shared" si="16"/>
        <v>0</v>
      </c>
      <c r="FM18" s="26">
        <f t="shared" si="16"/>
        <v>0</v>
      </c>
      <c r="FN18" s="26">
        <f t="shared" si="16"/>
        <v>0</v>
      </c>
      <c r="FO18" s="26">
        <f t="shared" si="16"/>
        <v>0</v>
      </c>
      <c r="FP18" s="26">
        <f t="shared" si="16"/>
        <v>0</v>
      </c>
      <c r="FQ18" s="26">
        <f t="shared" si="16"/>
        <v>0</v>
      </c>
      <c r="FR18" s="26">
        <f t="shared" si="16"/>
        <v>0</v>
      </c>
      <c r="FS18" s="26">
        <f t="shared" si="16"/>
        <v>0</v>
      </c>
      <c r="FT18" s="26">
        <f t="shared" si="16"/>
        <v>0</v>
      </c>
      <c r="FU18" s="26">
        <f t="shared" si="16"/>
        <v>0</v>
      </c>
      <c r="FV18" s="26">
        <f t="shared" si="16"/>
        <v>0</v>
      </c>
      <c r="FW18" s="26">
        <f t="shared" si="16"/>
        <v>0</v>
      </c>
      <c r="FX18" s="26">
        <f t="shared" si="16"/>
        <v>0</v>
      </c>
      <c r="FY18" s="26">
        <f t="shared" si="16"/>
        <v>0</v>
      </c>
      <c r="FZ18" s="26">
        <f t="shared" si="16"/>
        <v>0</v>
      </c>
      <c r="GA18" s="26">
        <f t="shared" si="16"/>
        <v>0</v>
      </c>
      <c r="GB18" s="26">
        <f t="shared" si="16"/>
        <v>0</v>
      </c>
      <c r="GC18" s="26">
        <f t="shared" si="16"/>
        <v>0</v>
      </c>
      <c r="GD18" s="26">
        <f t="shared" si="16"/>
        <v>0</v>
      </c>
      <c r="GE18" s="26">
        <f t="shared" si="16"/>
        <v>0</v>
      </c>
      <c r="GF18" s="26">
        <f t="shared" si="16"/>
        <v>0</v>
      </c>
      <c r="GG18" s="26">
        <f t="shared" si="16"/>
        <v>0</v>
      </c>
      <c r="GH18" s="26">
        <f t="shared" si="16"/>
        <v>0</v>
      </c>
      <c r="GI18" s="26">
        <f t="shared" si="16"/>
        <v>0</v>
      </c>
      <c r="GJ18" s="26">
        <f t="shared" si="16"/>
        <v>0</v>
      </c>
      <c r="GK18" s="26">
        <f t="shared" ref="GK18:IV18" si="17">SUM(GK6:GK17)</f>
        <v>0</v>
      </c>
      <c r="GL18" s="26">
        <f t="shared" si="17"/>
        <v>0</v>
      </c>
      <c r="GM18" s="26">
        <f t="shared" si="17"/>
        <v>0</v>
      </c>
      <c r="GN18" s="26">
        <f t="shared" si="17"/>
        <v>0</v>
      </c>
      <c r="GO18" s="26">
        <f t="shared" si="17"/>
        <v>0</v>
      </c>
      <c r="GP18" s="26">
        <f t="shared" si="17"/>
        <v>0</v>
      </c>
      <c r="GQ18" s="26">
        <f t="shared" si="17"/>
        <v>0</v>
      </c>
      <c r="GR18" s="26">
        <f t="shared" si="17"/>
        <v>0</v>
      </c>
      <c r="GS18" s="26">
        <f t="shared" si="17"/>
        <v>0</v>
      </c>
      <c r="GT18" s="26">
        <f t="shared" si="17"/>
        <v>0</v>
      </c>
      <c r="GU18" s="26">
        <f t="shared" si="17"/>
        <v>0</v>
      </c>
      <c r="GV18" s="26">
        <f t="shared" si="17"/>
        <v>0</v>
      </c>
      <c r="GW18" s="26">
        <f t="shared" si="17"/>
        <v>0</v>
      </c>
      <c r="GX18" s="26">
        <f t="shared" si="17"/>
        <v>0</v>
      </c>
      <c r="GY18" s="26">
        <f t="shared" si="17"/>
        <v>0</v>
      </c>
      <c r="GZ18" s="26">
        <f t="shared" si="17"/>
        <v>0</v>
      </c>
      <c r="HA18" s="26">
        <f t="shared" si="17"/>
        <v>0</v>
      </c>
      <c r="HB18" s="26">
        <f t="shared" si="17"/>
        <v>0</v>
      </c>
      <c r="HC18" s="26">
        <f t="shared" si="17"/>
        <v>0</v>
      </c>
      <c r="HD18" s="26">
        <f t="shared" si="17"/>
        <v>0</v>
      </c>
      <c r="HE18" s="26">
        <f t="shared" si="17"/>
        <v>0</v>
      </c>
      <c r="HF18" s="26">
        <f t="shared" si="17"/>
        <v>0</v>
      </c>
      <c r="HG18" s="26">
        <f t="shared" si="17"/>
        <v>0</v>
      </c>
      <c r="HH18" s="26">
        <f t="shared" si="17"/>
        <v>0</v>
      </c>
      <c r="HI18" s="26">
        <f t="shared" si="17"/>
        <v>0</v>
      </c>
      <c r="HJ18" s="26">
        <f t="shared" si="17"/>
        <v>0</v>
      </c>
      <c r="HK18" s="26">
        <f t="shared" si="17"/>
        <v>0</v>
      </c>
      <c r="HL18" s="26">
        <f t="shared" si="17"/>
        <v>0</v>
      </c>
      <c r="HM18" s="26">
        <f t="shared" si="17"/>
        <v>0</v>
      </c>
      <c r="HN18" s="26">
        <f t="shared" si="17"/>
        <v>0</v>
      </c>
      <c r="HO18" s="26">
        <f t="shared" si="17"/>
        <v>0</v>
      </c>
      <c r="HP18" s="26">
        <f t="shared" si="17"/>
        <v>0</v>
      </c>
      <c r="HQ18" s="26">
        <f t="shared" si="17"/>
        <v>0</v>
      </c>
      <c r="HR18" s="26">
        <f t="shared" si="17"/>
        <v>0</v>
      </c>
      <c r="HS18" s="26">
        <f t="shared" si="17"/>
        <v>0</v>
      </c>
      <c r="HT18" s="26">
        <f t="shared" si="17"/>
        <v>0</v>
      </c>
      <c r="HU18" s="26">
        <f t="shared" si="17"/>
        <v>0</v>
      </c>
      <c r="HV18" s="26">
        <f t="shared" si="17"/>
        <v>0</v>
      </c>
      <c r="HW18" s="26">
        <f t="shared" si="17"/>
        <v>0</v>
      </c>
      <c r="HX18" s="26">
        <f t="shared" si="17"/>
        <v>0</v>
      </c>
      <c r="HY18" s="26">
        <f t="shared" si="17"/>
        <v>0</v>
      </c>
      <c r="HZ18" s="26">
        <f t="shared" si="17"/>
        <v>0</v>
      </c>
      <c r="IA18" s="26">
        <f t="shared" si="17"/>
        <v>0</v>
      </c>
      <c r="IB18" s="26">
        <f t="shared" si="17"/>
        <v>0</v>
      </c>
      <c r="IC18" s="26">
        <f t="shared" si="17"/>
        <v>0</v>
      </c>
      <c r="ID18" s="26">
        <f t="shared" si="17"/>
        <v>0</v>
      </c>
      <c r="IE18" s="26">
        <f t="shared" si="17"/>
        <v>0</v>
      </c>
      <c r="IF18" s="26">
        <f t="shared" si="17"/>
        <v>0</v>
      </c>
      <c r="IG18" s="26">
        <f t="shared" si="17"/>
        <v>0</v>
      </c>
      <c r="IH18" s="26">
        <f t="shared" si="17"/>
        <v>0</v>
      </c>
      <c r="II18" s="26">
        <f t="shared" si="17"/>
        <v>0</v>
      </c>
      <c r="IJ18" s="26">
        <f t="shared" si="17"/>
        <v>0</v>
      </c>
      <c r="IK18" s="26">
        <f t="shared" si="17"/>
        <v>0</v>
      </c>
      <c r="IL18" s="26">
        <f t="shared" si="17"/>
        <v>0</v>
      </c>
      <c r="IM18" s="26">
        <f t="shared" si="17"/>
        <v>0</v>
      </c>
      <c r="IN18" s="26">
        <f t="shared" si="17"/>
        <v>0</v>
      </c>
      <c r="IO18" s="26">
        <f t="shared" si="17"/>
        <v>0</v>
      </c>
      <c r="IP18" s="26">
        <f t="shared" si="17"/>
        <v>0</v>
      </c>
      <c r="IQ18" s="26">
        <f t="shared" si="17"/>
        <v>0</v>
      </c>
      <c r="IR18" s="26">
        <f t="shared" si="17"/>
        <v>0</v>
      </c>
      <c r="IS18" s="26">
        <f t="shared" si="17"/>
        <v>0</v>
      </c>
      <c r="IT18" s="26">
        <f t="shared" si="17"/>
        <v>0</v>
      </c>
      <c r="IU18" s="26">
        <f t="shared" si="17"/>
        <v>0</v>
      </c>
      <c r="IV18" s="26">
        <f t="shared" si="17"/>
        <v>0</v>
      </c>
      <c r="IW18" s="26">
        <f t="shared" ref="IW18:LH18" si="18">SUM(IW6:IW17)</f>
        <v>0</v>
      </c>
      <c r="IX18" s="26">
        <f t="shared" si="18"/>
        <v>0</v>
      </c>
      <c r="IY18" s="26">
        <f t="shared" si="18"/>
        <v>0</v>
      </c>
      <c r="IZ18" s="26">
        <f t="shared" si="18"/>
        <v>0</v>
      </c>
      <c r="JA18" s="26">
        <f t="shared" si="18"/>
        <v>0</v>
      </c>
      <c r="JB18" s="26">
        <f t="shared" si="18"/>
        <v>0</v>
      </c>
      <c r="JC18" s="26">
        <f t="shared" si="18"/>
        <v>0</v>
      </c>
      <c r="JD18" s="26">
        <f t="shared" si="18"/>
        <v>0</v>
      </c>
      <c r="JE18" s="26">
        <f t="shared" si="18"/>
        <v>0</v>
      </c>
      <c r="JF18" s="26">
        <f t="shared" si="18"/>
        <v>0</v>
      </c>
      <c r="JG18" s="26">
        <f t="shared" si="18"/>
        <v>0</v>
      </c>
      <c r="JH18" s="26">
        <f t="shared" si="18"/>
        <v>0</v>
      </c>
      <c r="JI18" s="26">
        <f t="shared" si="18"/>
        <v>0</v>
      </c>
      <c r="JJ18" s="26">
        <f t="shared" si="18"/>
        <v>0</v>
      </c>
      <c r="JK18" s="26">
        <f t="shared" si="18"/>
        <v>0</v>
      </c>
      <c r="JL18" s="26">
        <f t="shared" si="18"/>
        <v>0</v>
      </c>
      <c r="JM18" s="26">
        <f t="shared" si="18"/>
        <v>0</v>
      </c>
      <c r="JN18" s="26">
        <f t="shared" si="18"/>
        <v>0</v>
      </c>
      <c r="JO18" s="26">
        <f t="shared" si="18"/>
        <v>0</v>
      </c>
      <c r="JP18" s="26">
        <f t="shared" si="18"/>
        <v>0</v>
      </c>
      <c r="JQ18" s="26">
        <f t="shared" si="18"/>
        <v>0</v>
      </c>
      <c r="JR18" s="26">
        <f t="shared" si="18"/>
        <v>0</v>
      </c>
      <c r="JS18" s="26">
        <f t="shared" si="18"/>
        <v>0</v>
      </c>
      <c r="JT18" s="26">
        <f t="shared" si="18"/>
        <v>0</v>
      </c>
      <c r="JU18" s="26">
        <f t="shared" si="18"/>
        <v>0</v>
      </c>
      <c r="JV18" s="26">
        <f t="shared" si="18"/>
        <v>0</v>
      </c>
      <c r="JW18" s="26">
        <f t="shared" si="18"/>
        <v>0</v>
      </c>
      <c r="JX18" s="26">
        <f t="shared" si="18"/>
        <v>0</v>
      </c>
      <c r="JY18" s="26">
        <f t="shared" si="18"/>
        <v>0</v>
      </c>
      <c r="JZ18" s="26">
        <f t="shared" si="18"/>
        <v>0</v>
      </c>
      <c r="KA18" s="26">
        <f t="shared" si="18"/>
        <v>0</v>
      </c>
      <c r="KB18" s="26">
        <f t="shared" si="18"/>
        <v>0</v>
      </c>
      <c r="KC18" s="26">
        <f t="shared" si="18"/>
        <v>0</v>
      </c>
      <c r="KD18" s="26">
        <f t="shared" si="18"/>
        <v>0</v>
      </c>
      <c r="KE18" s="26">
        <f t="shared" si="18"/>
        <v>0</v>
      </c>
      <c r="KF18" s="26">
        <f t="shared" si="18"/>
        <v>0</v>
      </c>
      <c r="KG18" s="26">
        <f t="shared" si="18"/>
        <v>0</v>
      </c>
      <c r="KH18" s="26">
        <f t="shared" si="18"/>
        <v>0</v>
      </c>
      <c r="KI18" s="26">
        <f t="shared" si="18"/>
        <v>0</v>
      </c>
      <c r="KJ18" s="26">
        <f t="shared" si="18"/>
        <v>0</v>
      </c>
      <c r="KK18" s="26">
        <f t="shared" si="18"/>
        <v>0</v>
      </c>
      <c r="KL18" s="26">
        <f t="shared" si="18"/>
        <v>0</v>
      </c>
      <c r="KM18" s="26">
        <f t="shared" si="18"/>
        <v>0</v>
      </c>
      <c r="KN18" s="26">
        <f t="shared" si="18"/>
        <v>0</v>
      </c>
      <c r="KO18" s="26">
        <f t="shared" si="18"/>
        <v>0</v>
      </c>
      <c r="KP18" s="26">
        <f t="shared" si="18"/>
        <v>0</v>
      </c>
      <c r="KQ18" s="26">
        <f t="shared" si="18"/>
        <v>0</v>
      </c>
      <c r="KR18" s="26">
        <f t="shared" si="18"/>
        <v>0</v>
      </c>
      <c r="KS18" s="26">
        <f t="shared" si="18"/>
        <v>0</v>
      </c>
      <c r="KT18" s="26">
        <f t="shared" si="18"/>
        <v>0</v>
      </c>
      <c r="KU18" s="26">
        <f t="shared" si="18"/>
        <v>0</v>
      </c>
      <c r="KV18" s="26">
        <f t="shared" si="18"/>
        <v>0</v>
      </c>
      <c r="KW18" s="26">
        <f t="shared" si="18"/>
        <v>0</v>
      </c>
      <c r="KX18" s="26">
        <f t="shared" si="18"/>
        <v>0</v>
      </c>
      <c r="KY18" s="26">
        <f t="shared" si="18"/>
        <v>0</v>
      </c>
      <c r="KZ18" s="26">
        <f t="shared" si="18"/>
        <v>0</v>
      </c>
      <c r="LA18" s="26">
        <f t="shared" si="18"/>
        <v>0</v>
      </c>
      <c r="LB18" s="26">
        <f t="shared" si="18"/>
        <v>0</v>
      </c>
      <c r="LC18" s="26">
        <f t="shared" si="18"/>
        <v>0</v>
      </c>
      <c r="LD18" s="26">
        <f t="shared" si="18"/>
        <v>0</v>
      </c>
      <c r="LE18" s="26">
        <f t="shared" si="18"/>
        <v>0</v>
      </c>
      <c r="LF18" s="26">
        <f t="shared" si="18"/>
        <v>0</v>
      </c>
      <c r="LG18" s="26">
        <f t="shared" si="18"/>
        <v>0</v>
      </c>
      <c r="LH18" s="26">
        <f t="shared" si="18"/>
        <v>0</v>
      </c>
      <c r="LI18" s="26">
        <f t="shared" ref="LI18:LP18" si="19">SUM(LI6:LI17)</f>
        <v>0</v>
      </c>
      <c r="LJ18" s="26">
        <f t="shared" si="19"/>
        <v>0</v>
      </c>
      <c r="LK18" s="26">
        <f t="shared" si="19"/>
        <v>0</v>
      </c>
      <c r="LL18" s="26">
        <f t="shared" si="19"/>
        <v>0</v>
      </c>
      <c r="LM18" s="26">
        <f t="shared" si="19"/>
        <v>0</v>
      </c>
      <c r="LN18" s="26">
        <f t="shared" si="19"/>
        <v>0</v>
      </c>
      <c r="LO18" s="26">
        <f t="shared" si="19"/>
        <v>0</v>
      </c>
      <c r="LP18" s="26">
        <f t="shared" si="19"/>
        <v>0</v>
      </c>
      <c r="LQ18" s="26">
        <f t="shared" ref="LQ18" si="20">SUM(LQ6:LQ11)</f>
        <v>0</v>
      </c>
      <c r="LR18" s="26">
        <f t="shared" ref="LR18" si="21">SUM(LR6:LR11)</f>
        <v>0</v>
      </c>
      <c r="LS18" s="26">
        <f t="shared" ref="LS18" si="22">SUM(LS6:LS11)</f>
        <v>0</v>
      </c>
      <c r="LT18" s="26">
        <f t="shared" ref="LT18" si="23">SUM(LT6:LT11)</f>
        <v>0</v>
      </c>
      <c r="LU18" s="26">
        <f t="shared" ref="LU18" si="24">SUM(LU6:LU11)</f>
        <v>0</v>
      </c>
      <c r="LV18" s="26">
        <f t="shared" ref="LV18:LW18" si="25">SUM(LV6:LV11)</f>
        <v>0</v>
      </c>
      <c r="LW18" s="26">
        <f t="shared" si="25"/>
        <v>0</v>
      </c>
      <c r="LX18" s="26">
        <f t="shared" ref="LX18" si="26">SUM(LX6:LX11)</f>
        <v>0</v>
      </c>
      <c r="LY18" s="26">
        <f t="shared" ref="LY18" si="27">SUM(LY6:LY11)</f>
        <v>0</v>
      </c>
      <c r="LZ18" s="26">
        <f t="shared" ref="LZ18" si="28">SUM(LZ6:LZ11)</f>
        <v>0</v>
      </c>
      <c r="MA18" s="26">
        <f t="shared" ref="MA18" si="29">SUM(MA6:MA11)</f>
        <v>0</v>
      </c>
      <c r="MB18" s="26">
        <f t="shared" ref="MB18:MC18" si="30">SUM(MB6:MB11)</f>
        <v>0</v>
      </c>
      <c r="MC18" s="26">
        <f t="shared" si="30"/>
        <v>0</v>
      </c>
      <c r="MD18" s="26">
        <f t="shared" ref="MD18" si="31">SUM(MD6:MD11)</f>
        <v>0</v>
      </c>
      <c r="ME18" s="26">
        <f t="shared" ref="ME18" si="32">SUM(ME6:ME11)</f>
        <v>0</v>
      </c>
      <c r="MF18" s="26">
        <f t="shared" ref="MF18" si="33">SUM(MF6:MF11)</f>
        <v>0</v>
      </c>
      <c r="MG18" s="26">
        <f t="shared" ref="MG18" si="34">SUM(MG6:MG11)</f>
        <v>0</v>
      </c>
      <c r="MH18" s="26">
        <f t="shared" ref="MH18:MI18" si="35">SUM(MH6:MH11)</f>
        <v>0</v>
      </c>
      <c r="MI18" s="26">
        <f t="shared" si="35"/>
        <v>0</v>
      </c>
      <c r="MJ18" s="26">
        <f t="shared" ref="MJ18" si="36">SUM(MJ6:MJ11)</f>
        <v>0</v>
      </c>
      <c r="MK18" s="26">
        <f t="shared" ref="MK18" si="37">SUM(MK6:MK11)</f>
        <v>0</v>
      </c>
      <c r="ML18" s="26">
        <f t="shared" ref="ML18" si="38">SUM(ML6:ML11)</f>
        <v>0</v>
      </c>
      <c r="MM18" s="26">
        <f t="shared" ref="MM18" si="39">SUM(MM6:MM11)</f>
        <v>0</v>
      </c>
      <c r="MN18" s="26">
        <f t="shared" ref="MN18:MO18" si="40">SUM(MN6:MN11)</f>
        <v>0</v>
      </c>
      <c r="MO18" s="26">
        <f t="shared" si="40"/>
        <v>0</v>
      </c>
      <c r="MP18" s="26">
        <f t="shared" ref="MP18" si="41">SUM(MP6:MP11)</f>
        <v>0</v>
      </c>
      <c r="MQ18" s="26">
        <f t="shared" ref="MQ18" si="42">SUM(MQ6:MQ11)</f>
        <v>0</v>
      </c>
      <c r="MR18" s="26">
        <f t="shared" ref="MR18" si="43">SUM(MR6:MR11)</f>
        <v>0</v>
      </c>
      <c r="MS18" s="26">
        <f t="shared" ref="MS18" si="44">SUM(MS6:MS11)</f>
        <v>0</v>
      </c>
      <c r="MT18" s="26">
        <f t="shared" ref="MT18:MU18" si="45">SUM(MT6:MT11)</f>
        <v>0</v>
      </c>
      <c r="MU18" s="26">
        <f t="shared" si="45"/>
        <v>0</v>
      </c>
      <c r="MV18" s="26">
        <f t="shared" ref="MV18" si="46">SUM(MV6:MV11)</f>
        <v>0</v>
      </c>
      <c r="MW18" s="26">
        <f t="shared" ref="MW18" si="47">SUM(MW6:MW11)</f>
        <v>0</v>
      </c>
      <c r="MX18" s="26">
        <f t="shared" ref="MX18" si="48">SUM(MX6:MX11)</f>
        <v>0</v>
      </c>
      <c r="MY18" s="26">
        <f t="shared" ref="MY18" si="49">SUM(MY6:MY11)</f>
        <v>0</v>
      </c>
      <c r="MZ18" s="26">
        <f t="shared" ref="MZ18:NA18" si="50">SUM(MZ6:MZ11)</f>
        <v>0</v>
      </c>
      <c r="NA18" s="26">
        <f t="shared" si="50"/>
        <v>0</v>
      </c>
      <c r="NB18" s="26">
        <f t="shared" ref="NB18" si="51">SUM(NB6:NB11)</f>
        <v>0</v>
      </c>
      <c r="NC18" s="26">
        <f t="shared" ref="NC18" si="52">SUM(NC6:NC11)</f>
        <v>0</v>
      </c>
      <c r="ND18" s="26">
        <f t="shared" ref="ND18" si="53">SUM(ND6:ND11)</f>
        <v>0</v>
      </c>
      <c r="NE18" s="26">
        <f t="shared" ref="NE18" si="54">SUM(NE6:NE11)</f>
        <v>0</v>
      </c>
      <c r="NF18" s="26">
        <f t="shared" ref="NF18:NG18" si="55">SUM(NF6:NF11)</f>
        <v>0</v>
      </c>
      <c r="NG18" s="26">
        <f t="shared" si="55"/>
        <v>0</v>
      </c>
      <c r="NH18" s="26">
        <f t="shared" ref="NH18" si="56">SUM(NH6:NH11)</f>
        <v>0</v>
      </c>
      <c r="NI18" s="26">
        <f t="shared" ref="NI18" si="57">SUM(NI6:NI11)</f>
        <v>0</v>
      </c>
      <c r="NJ18" s="26">
        <f t="shared" ref="NJ18" si="58">SUM(NJ6:NJ11)</f>
        <v>0</v>
      </c>
      <c r="NK18" s="26">
        <f t="shared" ref="NK18" si="59">SUM(NK6:NK11)</f>
        <v>0</v>
      </c>
      <c r="NL18" s="26">
        <f t="shared" ref="NL18:NM18" si="60">SUM(NL6:NL11)</f>
        <v>0</v>
      </c>
      <c r="NM18" s="26">
        <f t="shared" si="60"/>
        <v>0</v>
      </c>
      <c r="NN18" s="26">
        <f t="shared" ref="NN18" si="61">SUM(NN6:NN11)</f>
        <v>0</v>
      </c>
      <c r="NO18" s="26">
        <f t="shared" ref="NO18" si="62">SUM(NO6:NO11)</f>
        <v>0</v>
      </c>
      <c r="NP18" s="26">
        <f t="shared" ref="NP18" si="63">SUM(NP6:NP11)</f>
        <v>0</v>
      </c>
      <c r="NQ18" s="26">
        <f t="shared" ref="NQ18" si="64">SUM(NQ6:NQ11)</f>
        <v>0</v>
      </c>
      <c r="NR18" s="26">
        <f t="shared" ref="NR18" si="65">SUM(NR6:NR11)</f>
        <v>0</v>
      </c>
    </row>
    <row r="26" spans="2:382" ht="36" x14ac:dyDescent="0.4">
      <c r="B26" s="31" t="s">
        <v>42</v>
      </c>
      <c r="C26" s="31" t="s">
        <v>43</v>
      </c>
      <c r="D26" s="31" t="s">
        <v>44</v>
      </c>
      <c r="E26" s="31" t="s">
        <v>45</v>
      </c>
      <c r="F26" s="31" t="s">
        <v>46</v>
      </c>
      <c r="G26" s="31" t="s">
        <v>47</v>
      </c>
      <c r="H26" s="31" t="s">
        <v>48</v>
      </c>
      <c r="I26" s="31" t="s">
        <v>49</v>
      </c>
      <c r="J26" s="31" t="s">
        <v>50</v>
      </c>
      <c r="K26" s="31" t="s">
        <v>51</v>
      </c>
      <c r="L26" s="31" t="s">
        <v>52</v>
      </c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  <c r="EY26" s="32"/>
      <c r="EZ26" s="32"/>
      <c r="FA26" s="32"/>
      <c r="FB26" s="32"/>
      <c r="FC26" s="32"/>
      <c r="FD26" s="32"/>
      <c r="FE26" s="32"/>
      <c r="FF26" s="32"/>
      <c r="FG26" s="32"/>
      <c r="FH26" s="32"/>
      <c r="FI26" s="32"/>
      <c r="FJ26" s="32"/>
      <c r="FK26" s="32"/>
      <c r="FL26" s="32"/>
      <c r="FM26" s="32"/>
      <c r="FN26" s="32"/>
      <c r="FO26" s="32"/>
      <c r="FP26" s="32"/>
      <c r="FQ26" s="32"/>
      <c r="FR26" s="32"/>
      <c r="FS26" s="32"/>
      <c r="FT26" s="32"/>
      <c r="FU26" s="32"/>
      <c r="FV26" s="32"/>
      <c r="FW26" s="32"/>
      <c r="FX26" s="32"/>
      <c r="FY26" s="32"/>
      <c r="FZ26" s="32"/>
      <c r="GA26" s="32"/>
      <c r="GB26" s="32"/>
      <c r="GC26" s="32"/>
      <c r="GD26" s="32"/>
      <c r="GE26" s="32"/>
      <c r="GF26" s="32"/>
      <c r="GG26" s="32"/>
      <c r="GH26" s="32"/>
      <c r="GI26" s="32"/>
      <c r="GJ26" s="32"/>
      <c r="GK26" s="32"/>
      <c r="GL26" s="32"/>
      <c r="GM26" s="32"/>
      <c r="GN26" s="32"/>
      <c r="GO26" s="32"/>
      <c r="GP26" s="32"/>
      <c r="GQ26" s="32"/>
      <c r="GR26" s="32"/>
      <c r="GS26" s="32"/>
      <c r="GT26" s="32"/>
      <c r="GU26" s="32"/>
      <c r="GV26" s="32"/>
      <c r="GW26" s="32"/>
      <c r="GX26" s="32"/>
      <c r="GY26" s="32"/>
      <c r="GZ26" s="32"/>
      <c r="HA26" s="32"/>
      <c r="HB26" s="32"/>
      <c r="HC26" s="32"/>
      <c r="HD26" s="32"/>
      <c r="HE26" s="32"/>
      <c r="HF26" s="32"/>
      <c r="HG26" s="32"/>
      <c r="HH26" s="32"/>
      <c r="HI26" s="32"/>
      <c r="HJ26" s="32"/>
      <c r="HK26" s="32"/>
      <c r="HL26" s="32"/>
      <c r="HM26" s="32"/>
      <c r="HN26" s="32"/>
      <c r="HO26" s="32"/>
      <c r="HP26" s="32"/>
      <c r="HQ26" s="32"/>
      <c r="HR26" s="32"/>
      <c r="HS26" s="32"/>
      <c r="HT26" s="32"/>
      <c r="HU26" s="32"/>
      <c r="HV26" s="32"/>
      <c r="HW26" s="32"/>
      <c r="HX26" s="32"/>
      <c r="HY26" s="32"/>
      <c r="HZ26" s="32"/>
      <c r="IA26" s="32"/>
      <c r="IB26" s="32"/>
      <c r="IC26" s="32"/>
      <c r="ID26" s="32"/>
      <c r="IE26" s="32"/>
      <c r="IF26" s="32"/>
      <c r="IG26" s="32"/>
      <c r="IH26" s="32"/>
      <c r="II26" s="32"/>
      <c r="IJ26" s="32"/>
      <c r="IK26" s="32"/>
      <c r="IL26" s="32"/>
      <c r="IM26" s="32"/>
      <c r="IN26" s="32"/>
      <c r="IO26" s="32"/>
      <c r="IP26" s="32"/>
      <c r="IQ26" s="32"/>
      <c r="IR26" s="32"/>
      <c r="IS26" s="32"/>
      <c r="IT26" s="32"/>
      <c r="IU26" s="32"/>
      <c r="IV26" s="32"/>
      <c r="IW26" s="32"/>
      <c r="IX26" s="32"/>
      <c r="IY26" s="32"/>
      <c r="IZ26" s="32"/>
      <c r="JA26" s="32"/>
      <c r="JB26" s="32"/>
      <c r="JC26" s="32"/>
      <c r="JD26" s="32"/>
      <c r="JE26" s="32"/>
      <c r="JF26" s="32"/>
      <c r="JG26" s="32"/>
      <c r="JH26" s="32"/>
      <c r="JI26" s="32"/>
      <c r="JJ26" s="32"/>
      <c r="JK26" s="32"/>
      <c r="JL26" s="32"/>
      <c r="JM26" s="32"/>
      <c r="JN26" s="32"/>
      <c r="JO26" s="32"/>
      <c r="JP26" s="32"/>
      <c r="JQ26" s="32"/>
      <c r="JR26" s="32"/>
      <c r="JS26" s="32"/>
      <c r="JT26" s="32"/>
      <c r="JU26" s="32"/>
      <c r="JV26" s="32"/>
      <c r="JW26" s="32"/>
      <c r="JX26" s="32"/>
      <c r="JY26" s="32"/>
      <c r="JZ26" s="32"/>
      <c r="KA26" s="32"/>
      <c r="KB26" s="32"/>
      <c r="KC26" s="32"/>
      <c r="KD26" s="32"/>
      <c r="KE26" s="32"/>
      <c r="KF26" s="32"/>
      <c r="KG26" s="32"/>
      <c r="KH26" s="32"/>
      <c r="KI26" s="32"/>
      <c r="KJ26" s="32"/>
      <c r="KK26" s="32"/>
      <c r="KL26" s="32"/>
      <c r="KM26" s="32"/>
      <c r="KN26" s="32"/>
      <c r="KO26" s="32"/>
      <c r="KP26" s="32"/>
      <c r="KQ26" s="32"/>
      <c r="KR26" s="32"/>
      <c r="KS26" s="32"/>
      <c r="KT26" s="32"/>
      <c r="KU26" s="32"/>
      <c r="KV26" s="32"/>
      <c r="KW26" s="32"/>
      <c r="KX26" s="32"/>
      <c r="KY26" s="32"/>
      <c r="KZ26" s="32"/>
      <c r="LA26" s="32"/>
      <c r="LB26" s="32"/>
      <c r="LC26" s="32"/>
      <c r="LD26" s="32"/>
      <c r="LE26" s="32"/>
      <c r="LF26" s="32"/>
      <c r="LG26" s="32"/>
      <c r="LH26" s="32"/>
      <c r="LI26" s="32"/>
      <c r="LJ26" s="32"/>
      <c r="LK26" s="32"/>
      <c r="LL26" s="32"/>
      <c r="LM26" s="32"/>
      <c r="LN26" s="32"/>
      <c r="LO26" s="32"/>
      <c r="LP26" s="32"/>
      <c r="LQ26" s="32"/>
      <c r="LR26" s="32"/>
      <c r="LS26" s="32"/>
      <c r="LT26" s="32"/>
      <c r="LU26" s="32"/>
      <c r="LV26" s="32"/>
      <c r="LW26" s="32"/>
      <c r="LX26" s="32"/>
      <c r="LY26" s="32"/>
      <c r="LZ26" s="32"/>
      <c r="MA26" s="32"/>
      <c r="MB26" s="32"/>
      <c r="MC26" s="32"/>
      <c r="MD26" s="32"/>
      <c r="ME26" s="32"/>
      <c r="MF26" s="32"/>
      <c r="MG26" s="32"/>
      <c r="MH26" s="32"/>
      <c r="MI26" s="32"/>
      <c r="MJ26" s="32"/>
      <c r="MK26" s="32"/>
      <c r="ML26" s="32"/>
    </row>
    <row r="27" spans="2:382" x14ac:dyDescent="0.4">
      <c r="B27" s="33">
        <v>46113</v>
      </c>
      <c r="C27" s="34">
        <v>2</v>
      </c>
      <c r="D27" s="34"/>
      <c r="E27" s="34"/>
      <c r="F27" s="34"/>
      <c r="G27" s="34"/>
      <c r="H27" s="34"/>
      <c r="I27" s="34"/>
      <c r="J27" s="34"/>
      <c r="K27" s="34">
        <v>1</v>
      </c>
      <c r="L27" s="34">
        <v>1</v>
      </c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5"/>
      <c r="HE27" s="35"/>
      <c r="HF27" s="35"/>
      <c r="HG27" s="35"/>
      <c r="HH27" s="35"/>
      <c r="HI27" s="35"/>
      <c r="HJ27" s="35"/>
      <c r="HK27" s="35"/>
      <c r="HL27" s="35"/>
      <c r="HM27" s="35"/>
      <c r="HN27" s="35"/>
      <c r="HO27" s="35"/>
      <c r="HP27" s="35"/>
      <c r="HQ27" s="35"/>
      <c r="HR27" s="35"/>
      <c r="HS27" s="35"/>
      <c r="HT27" s="35"/>
      <c r="HU27" s="35"/>
      <c r="HV27" s="35"/>
      <c r="HW27" s="35"/>
      <c r="HX27" s="35"/>
      <c r="HY27" s="35"/>
      <c r="HZ27" s="35"/>
      <c r="IA27" s="35"/>
      <c r="IB27" s="35"/>
      <c r="IC27" s="35"/>
      <c r="ID27" s="35"/>
      <c r="IE27" s="35"/>
      <c r="IF27" s="35"/>
      <c r="IG27" s="35"/>
      <c r="IH27" s="35"/>
      <c r="II27" s="35"/>
      <c r="IJ27" s="35"/>
      <c r="IK27" s="35"/>
      <c r="IL27" s="35"/>
      <c r="IM27" s="35"/>
      <c r="IN27" s="35"/>
      <c r="IO27" s="35"/>
      <c r="IP27" s="35"/>
      <c r="IQ27" s="35"/>
      <c r="IR27" s="35"/>
      <c r="IS27" s="35"/>
      <c r="IT27" s="35"/>
      <c r="IU27" s="35"/>
      <c r="IV27" s="35"/>
      <c r="IW27" s="35"/>
      <c r="IX27" s="35"/>
      <c r="IY27" s="35"/>
      <c r="IZ27" s="35"/>
      <c r="JA27" s="35"/>
      <c r="JB27" s="35"/>
      <c r="JC27" s="35"/>
      <c r="JD27" s="35"/>
      <c r="JE27" s="35"/>
      <c r="JF27" s="35"/>
      <c r="JG27" s="35"/>
      <c r="JH27" s="35"/>
      <c r="JI27" s="35"/>
      <c r="JJ27" s="35"/>
      <c r="JK27" s="35"/>
      <c r="JL27" s="35"/>
      <c r="JM27" s="35"/>
      <c r="JN27" s="35"/>
      <c r="JO27" s="35"/>
      <c r="JP27" s="35"/>
      <c r="JQ27" s="35"/>
      <c r="JR27" s="35"/>
      <c r="JS27" s="35"/>
      <c r="JT27" s="35"/>
      <c r="JU27" s="35"/>
      <c r="JV27" s="35"/>
      <c r="JW27" s="35"/>
      <c r="JX27" s="35"/>
      <c r="JY27" s="35"/>
      <c r="JZ27" s="35"/>
      <c r="KA27" s="35"/>
      <c r="KB27" s="35"/>
      <c r="KC27" s="35"/>
      <c r="KD27" s="35"/>
      <c r="KE27" s="35"/>
      <c r="KF27" s="35"/>
      <c r="KG27" s="35"/>
      <c r="KH27" s="35"/>
      <c r="KI27" s="35"/>
      <c r="KJ27" s="35"/>
      <c r="KK27" s="35"/>
      <c r="KL27" s="35"/>
      <c r="KM27" s="35"/>
      <c r="KN27" s="35"/>
      <c r="KO27" s="35"/>
      <c r="KP27" s="35"/>
      <c r="KQ27" s="35"/>
      <c r="KR27" s="35"/>
      <c r="KS27" s="35"/>
      <c r="KT27" s="35"/>
      <c r="KU27" s="35"/>
      <c r="KV27" s="35"/>
      <c r="KW27" s="35"/>
      <c r="KX27" s="35"/>
      <c r="KY27" s="35"/>
      <c r="KZ27" s="35"/>
      <c r="LA27" s="35"/>
      <c r="LB27" s="35"/>
      <c r="LC27" s="35"/>
      <c r="LD27" s="35"/>
      <c r="LE27" s="35"/>
      <c r="LF27" s="35"/>
      <c r="LG27" s="35"/>
      <c r="LH27" s="35"/>
      <c r="LI27" s="35"/>
      <c r="LJ27" s="35"/>
      <c r="LK27" s="35"/>
      <c r="LL27" s="35"/>
      <c r="LM27" s="35"/>
      <c r="LN27" s="35"/>
      <c r="LO27" s="35"/>
      <c r="LP27" s="35"/>
      <c r="LQ27" s="35"/>
      <c r="LR27" s="35"/>
      <c r="LS27" s="35"/>
      <c r="LT27" s="35"/>
      <c r="LU27" s="35"/>
      <c r="LV27" s="35"/>
      <c r="LW27" s="35"/>
      <c r="LX27" s="35"/>
      <c r="LY27" s="35"/>
      <c r="LZ27" s="35"/>
      <c r="MA27" s="35"/>
      <c r="MB27" s="35"/>
      <c r="MC27" s="35"/>
      <c r="MD27" s="35"/>
      <c r="ME27" s="35"/>
      <c r="MF27" s="35"/>
      <c r="MG27" s="35"/>
      <c r="MH27" s="35"/>
      <c r="MI27" s="35"/>
      <c r="MJ27" s="35"/>
      <c r="MK27" s="35"/>
      <c r="ML27" s="35"/>
    </row>
    <row r="28" spans="2:382" x14ac:dyDescent="0.4">
      <c r="B28" s="33">
        <v>46143</v>
      </c>
      <c r="C28" s="34"/>
      <c r="D28" s="34">
        <v>1</v>
      </c>
      <c r="E28" s="34"/>
      <c r="F28" s="34"/>
      <c r="G28" s="30"/>
      <c r="H28" s="34"/>
      <c r="I28" s="34">
        <v>1</v>
      </c>
      <c r="J28" s="34"/>
      <c r="K28" s="34">
        <v>1</v>
      </c>
      <c r="L28" s="34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5"/>
      <c r="HE28" s="35"/>
      <c r="HF28" s="35"/>
      <c r="HG28" s="35"/>
      <c r="HH28" s="35"/>
      <c r="HI28" s="35"/>
      <c r="HJ28" s="35"/>
      <c r="HK28" s="35"/>
      <c r="HL28" s="35"/>
      <c r="HM28" s="35"/>
      <c r="HN28" s="35"/>
      <c r="HO28" s="35"/>
      <c r="HP28" s="35"/>
      <c r="HQ28" s="35"/>
      <c r="HR28" s="35"/>
      <c r="HS28" s="35"/>
      <c r="HT28" s="35"/>
      <c r="HU28" s="35"/>
      <c r="HV28" s="35"/>
      <c r="HW28" s="35"/>
      <c r="HX28" s="35"/>
      <c r="HY28" s="35"/>
      <c r="HZ28" s="35"/>
      <c r="IA28" s="35"/>
      <c r="IB28" s="35"/>
      <c r="IC28" s="35"/>
      <c r="ID28" s="35"/>
      <c r="IE28" s="35"/>
      <c r="IF28" s="35"/>
      <c r="IG28" s="35"/>
      <c r="IH28" s="35"/>
      <c r="II28" s="35"/>
      <c r="IJ28" s="35"/>
      <c r="IK28" s="35"/>
      <c r="IL28" s="35"/>
      <c r="IM28" s="35"/>
      <c r="IN28" s="35"/>
      <c r="IO28" s="35"/>
      <c r="IP28" s="35"/>
      <c r="IQ28" s="35"/>
      <c r="IR28" s="35"/>
      <c r="IS28" s="35"/>
      <c r="IT28" s="35"/>
      <c r="IU28" s="35"/>
      <c r="IV28" s="35"/>
      <c r="IW28" s="35"/>
      <c r="IX28" s="35"/>
      <c r="IY28" s="35"/>
      <c r="IZ28" s="35"/>
      <c r="JA28" s="35"/>
      <c r="JB28" s="35"/>
      <c r="JC28" s="35"/>
      <c r="JD28" s="35"/>
      <c r="JE28" s="35"/>
      <c r="JF28" s="35"/>
      <c r="JG28" s="35"/>
      <c r="JH28" s="35"/>
      <c r="JI28" s="35"/>
      <c r="JJ28" s="35"/>
      <c r="JK28" s="35"/>
      <c r="JL28" s="35"/>
      <c r="JM28" s="35"/>
      <c r="JN28" s="35"/>
      <c r="JO28" s="35"/>
      <c r="JP28" s="35"/>
      <c r="JQ28" s="35"/>
      <c r="JR28" s="35"/>
      <c r="JS28" s="35"/>
      <c r="JT28" s="35"/>
      <c r="JU28" s="35"/>
      <c r="JV28" s="35"/>
      <c r="JW28" s="35"/>
      <c r="JX28" s="35"/>
      <c r="JY28" s="35"/>
      <c r="JZ28" s="35"/>
      <c r="KA28" s="35"/>
      <c r="KB28" s="35"/>
      <c r="KC28" s="35"/>
      <c r="KD28" s="35"/>
      <c r="KE28" s="35"/>
      <c r="KF28" s="35"/>
      <c r="KG28" s="35"/>
      <c r="KH28" s="35"/>
      <c r="KI28" s="35"/>
      <c r="KJ28" s="35"/>
      <c r="KK28" s="35"/>
      <c r="KL28" s="35"/>
      <c r="KM28" s="35"/>
      <c r="KN28" s="35"/>
      <c r="KO28" s="35"/>
      <c r="KP28" s="35"/>
      <c r="KQ28" s="35"/>
      <c r="KR28" s="35"/>
      <c r="KS28" s="35"/>
      <c r="KT28" s="35"/>
      <c r="KU28" s="35"/>
      <c r="KV28" s="35"/>
      <c r="KW28" s="35"/>
      <c r="KX28" s="35"/>
      <c r="KY28" s="35"/>
      <c r="KZ28" s="35"/>
      <c r="LA28" s="35"/>
      <c r="LB28" s="35"/>
      <c r="LC28" s="35"/>
      <c r="LD28" s="35"/>
      <c r="LE28" s="35"/>
      <c r="LF28" s="35"/>
      <c r="LG28" s="35"/>
      <c r="LH28" s="35"/>
      <c r="LI28" s="35"/>
      <c r="LJ28" s="35"/>
      <c r="LK28" s="35"/>
      <c r="LL28" s="35"/>
      <c r="LM28" s="35"/>
      <c r="LN28" s="35"/>
      <c r="LO28" s="35"/>
      <c r="LP28" s="35"/>
      <c r="LQ28" s="35"/>
      <c r="LR28" s="35"/>
      <c r="LS28" s="35"/>
      <c r="LT28" s="35"/>
      <c r="LU28" s="35"/>
      <c r="LV28" s="35"/>
      <c r="LW28" s="35"/>
      <c r="LX28" s="35"/>
      <c r="LY28" s="35"/>
      <c r="LZ28" s="35"/>
      <c r="MA28" s="35"/>
      <c r="MB28" s="35"/>
      <c r="MC28" s="35"/>
      <c r="MD28" s="35"/>
      <c r="ME28" s="35"/>
      <c r="MF28" s="35"/>
      <c r="MG28" s="35"/>
      <c r="MH28" s="35"/>
      <c r="MI28" s="35"/>
      <c r="MJ28" s="35"/>
      <c r="MK28" s="35"/>
      <c r="ML28" s="35"/>
    </row>
    <row r="29" spans="2:382" x14ac:dyDescent="0.4">
      <c r="B29" s="33">
        <v>46174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5"/>
      <c r="HE29" s="35"/>
      <c r="HF29" s="35"/>
      <c r="HG29" s="35"/>
      <c r="HH29" s="35"/>
      <c r="HI29" s="35"/>
      <c r="HJ29" s="35"/>
      <c r="HK29" s="35"/>
      <c r="HL29" s="35"/>
      <c r="HM29" s="35"/>
      <c r="HN29" s="35"/>
      <c r="HO29" s="35"/>
      <c r="HP29" s="35"/>
      <c r="HQ29" s="35"/>
      <c r="HR29" s="35"/>
      <c r="HS29" s="35"/>
      <c r="HT29" s="35"/>
      <c r="HU29" s="35"/>
      <c r="HV29" s="35"/>
      <c r="HW29" s="35"/>
      <c r="HX29" s="35"/>
      <c r="HY29" s="35"/>
      <c r="HZ29" s="35"/>
      <c r="IA29" s="35"/>
      <c r="IB29" s="35"/>
      <c r="IC29" s="35"/>
      <c r="ID29" s="35"/>
      <c r="IE29" s="35"/>
      <c r="IF29" s="35"/>
      <c r="IG29" s="35"/>
      <c r="IH29" s="35"/>
      <c r="II29" s="35"/>
      <c r="IJ29" s="35"/>
      <c r="IK29" s="35"/>
      <c r="IL29" s="35"/>
      <c r="IM29" s="35"/>
      <c r="IN29" s="35"/>
      <c r="IO29" s="35"/>
      <c r="IP29" s="35"/>
      <c r="IQ29" s="35"/>
      <c r="IR29" s="35"/>
      <c r="IS29" s="35"/>
      <c r="IT29" s="35"/>
      <c r="IU29" s="35"/>
      <c r="IV29" s="35"/>
      <c r="IW29" s="35"/>
      <c r="IX29" s="35"/>
      <c r="IY29" s="35"/>
      <c r="IZ29" s="35"/>
      <c r="JA29" s="35"/>
      <c r="JB29" s="35"/>
      <c r="JC29" s="35"/>
      <c r="JD29" s="35"/>
      <c r="JE29" s="35"/>
      <c r="JF29" s="35"/>
      <c r="JG29" s="35"/>
      <c r="JH29" s="35"/>
      <c r="JI29" s="35"/>
      <c r="JJ29" s="35"/>
      <c r="JK29" s="35"/>
      <c r="JL29" s="35"/>
      <c r="JM29" s="35"/>
      <c r="JN29" s="35"/>
      <c r="JO29" s="35"/>
      <c r="JP29" s="35"/>
      <c r="JQ29" s="35"/>
      <c r="JR29" s="35"/>
      <c r="JS29" s="35"/>
      <c r="JT29" s="35"/>
      <c r="JU29" s="35"/>
      <c r="JV29" s="35"/>
      <c r="JW29" s="35"/>
      <c r="JX29" s="35"/>
      <c r="JY29" s="35"/>
      <c r="JZ29" s="35"/>
      <c r="KA29" s="35"/>
      <c r="KB29" s="35"/>
      <c r="KC29" s="35"/>
      <c r="KD29" s="35"/>
      <c r="KE29" s="35"/>
      <c r="KF29" s="35"/>
      <c r="KG29" s="35"/>
      <c r="KH29" s="35"/>
      <c r="KI29" s="35"/>
      <c r="KJ29" s="35"/>
      <c r="KK29" s="35"/>
      <c r="KL29" s="35"/>
      <c r="KM29" s="35"/>
      <c r="KN29" s="35"/>
      <c r="KO29" s="35"/>
      <c r="KP29" s="35"/>
      <c r="KQ29" s="35"/>
      <c r="KR29" s="35"/>
      <c r="KS29" s="35"/>
      <c r="KT29" s="35"/>
      <c r="KU29" s="35"/>
      <c r="KV29" s="35"/>
      <c r="KW29" s="35"/>
      <c r="KX29" s="35"/>
      <c r="KY29" s="35"/>
      <c r="KZ29" s="35"/>
      <c r="LA29" s="35"/>
      <c r="LB29" s="35"/>
      <c r="LC29" s="35"/>
      <c r="LD29" s="35"/>
      <c r="LE29" s="35"/>
      <c r="LF29" s="35"/>
      <c r="LG29" s="35"/>
      <c r="LH29" s="35"/>
      <c r="LI29" s="35"/>
      <c r="LJ29" s="35"/>
      <c r="LK29" s="35"/>
      <c r="LL29" s="35"/>
      <c r="LM29" s="35"/>
      <c r="LN29" s="35"/>
      <c r="LO29" s="35"/>
      <c r="LP29" s="35"/>
      <c r="LQ29" s="35"/>
      <c r="LR29" s="35"/>
      <c r="LS29" s="35"/>
      <c r="LT29" s="35"/>
      <c r="LU29" s="35"/>
      <c r="LV29" s="35"/>
      <c r="LW29" s="35"/>
      <c r="LX29" s="35"/>
      <c r="LY29" s="35"/>
      <c r="LZ29" s="35"/>
      <c r="MA29" s="35"/>
      <c r="MB29" s="35"/>
      <c r="MC29" s="35"/>
      <c r="MD29" s="35"/>
      <c r="ME29" s="35"/>
      <c r="MF29" s="35"/>
      <c r="MG29" s="35"/>
      <c r="MH29" s="35"/>
      <c r="MI29" s="35"/>
      <c r="MJ29" s="35"/>
      <c r="MK29" s="35"/>
      <c r="ML29" s="35"/>
    </row>
    <row r="30" spans="2:382" ht="15.6" customHeight="1" x14ac:dyDescent="0.4">
      <c r="B30" s="33">
        <v>46204</v>
      </c>
      <c r="C30" s="34"/>
      <c r="D30" s="34"/>
      <c r="E30" s="34"/>
      <c r="F30" s="34"/>
      <c r="G30" s="30"/>
      <c r="H30" s="34"/>
      <c r="I30" s="34"/>
      <c r="J30" s="34"/>
      <c r="K30" s="34"/>
      <c r="L30" s="34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5"/>
      <c r="HE30" s="35"/>
      <c r="HF30" s="35"/>
      <c r="HG30" s="35"/>
      <c r="HH30" s="35"/>
      <c r="HI30" s="35"/>
      <c r="HJ30" s="35"/>
      <c r="HK30" s="35"/>
      <c r="HL30" s="35"/>
      <c r="HM30" s="35"/>
      <c r="HN30" s="35"/>
      <c r="HO30" s="35"/>
      <c r="HP30" s="35"/>
      <c r="HQ30" s="35"/>
      <c r="HR30" s="35"/>
      <c r="HS30" s="35"/>
      <c r="HT30" s="35"/>
      <c r="HU30" s="35"/>
      <c r="HV30" s="35"/>
      <c r="HW30" s="35"/>
      <c r="HX30" s="35"/>
      <c r="HY30" s="35"/>
      <c r="HZ30" s="35"/>
      <c r="IA30" s="35"/>
      <c r="IB30" s="35"/>
      <c r="IC30" s="35"/>
      <c r="ID30" s="35"/>
      <c r="IE30" s="35"/>
      <c r="IF30" s="35"/>
      <c r="IG30" s="35"/>
      <c r="IH30" s="35"/>
      <c r="II30" s="35"/>
      <c r="IJ30" s="35"/>
      <c r="IK30" s="35"/>
      <c r="IL30" s="35"/>
      <c r="IM30" s="35"/>
      <c r="IN30" s="35"/>
      <c r="IO30" s="35"/>
      <c r="IP30" s="35"/>
      <c r="IQ30" s="35"/>
      <c r="IR30" s="35"/>
      <c r="IS30" s="35"/>
      <c r="IT30" s="35"/>
      <c r="IU30" s="35"/>
      <c r="IV30" s="35"/>
      <c r="IW30" s="35"/>
      <c r="IX30" s="35"/>
      <c r="IY30" s="35"/>
      <c r="IZ30" s="35"/>
      <c r="JA30" s="35"/>
      <c r="JB30" s="35"/>
      <c r="JC30" s="35"/>
      <c r="JD30" s="35"/>
      <c r="JE30" s="35"/>
      <c r="JF30" s="35"/>
      <c r="JG30" s="35"/>
      <c r="JH30" s="35"/>
      <c r="JI30" s="35"/>
      <c r="JJ30" s="35"/>
      <c r="JK30" s="35"/>
      <c r="JL30" s="35"/>
      <c r="JM30" s="35"/>
      <c r="JN30" s="35"/>
      <c r="JO30" s="35"/>
      <c r="JP30" s="35"/>
      <c r="JQ30" s="35"/>
      <c r="JR30" s="35"/>
      <c r="JS30" s="35"/>
      <c r="JT30" s="35"/>
      <c r="JU30" s="35"/>
      <c r="JV30" s="35"/>
      <c r="JW30" s="35"/>
      <c r="JX30" s="35"/>
      <c r="JY30" s="35"/>
      <c r="JZ30" s="35"/>
      <c r="KA30" s="35"/>
      <c r="KB30" s="35"/>
      <c r="KC30" s="35"/>
      <c r="KD30" s="35"/>
      <c r="KE30" s="35"/>
      <c r="KF30" s="35"/>
      <c r="KG30" s="35"/>
      <c r="KH30" s="35"/>
      <c r="KI30" s="35"/>
      <c r="KJ30" s="35"/>
      <c r="KK30" s="35"/>
      <c r="KL30" s="35"/>
      <c r="KM30" s="35"/>
      <c r="KN30" s="35"/>
      <c r="KO30" s="35"/>
      <c r="KP30" s="35"/>
      <c r="KQ30" s="35"/>
      <c r="KR30" s="35"/>
      <c r="KS30" s="35"/>
      <c r="KT30" s="35"/>
      <c r="KU30" s="35"/>
      <c r="KV30" s="35"/>
      <c r="KW30" s="35"/>
      <c r="KX30" s="35"/>
      <c r="KY30" s="35"/>
      <c r="KZ30" s="35"/>
      <c r="LA30" s="35"/>
      <c r="LB30" s="35"/>
      <c r="LC30" s="35"/>
      <c r="LD30" s="35"/>
      <c r="LE30" s="35"/>
      <c r="LF30" s="35"/>
      <c r="LG30" s="35"/>
      <c r="LH30" s="35"/>
      <c r="LI30" s="35"/>
      <c r="LJ30" s="35"/>
      <c r="LK30" s="35"/>
      <c r="LL30" s="35"/>
      <c r="LM30" s="35"/>
      <c r="LN30" s="35"/>
      <c r="LO30" s="35"/>
      <c r="LP30" s="35"/>
      <c r="LQ30" s="35"/>
      <c r="LR30" s="35"/>
      <c r="LS30" s="35"/>
      <c r="LT30" s="35"/>
      <c r="LU30" s="35"/>
      <c r="LV30" s="35"/>
      <c r="LW30" s="35"/>
      <c r="LX30" s="35"/>
      <c r="LY30" s="35"/>
      <c r="LZ30" s="35"/>
      <c r="MA30" s="35"/>
      <c r="MB30" s="35"/>
      <c r="MC30" s="35"/>
      <c r="MD30" s="35"/>
      <c r="ME30" s="35"/>
      <c r="MF30" s="35"/>
      <c r="MG30" s="35"/>
      <c r="MH30" s="35"/>
      <c r="MI30" s="35"/>
      <c r="MJ30" s="35"/>
      <c r="MK30" s="35"/>
      <c r="ML30" s="35"/>
    </row>
    <row r="31" spans="2:382" x14ac:dyDescent="0.4">
      <c r="B31" s="33">
        <v>46235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5"/>
      <c r="HE31" s="35"/>
      <c r="HF31" s="35"/>
      <c r="HG31" s="35"/>
      <c r="HH31" s="35"/>
      <c r="HI31" s="35"/>
      <c r="HJ31" s="35"/>
      <c r="HK31" s="35"/>
      <c r="HL31" s="35"/>
      <c r="HM31" s="35"/>
      <c r="HN31" s="35"/>
      <c r="HO31" s="35"/>
      <c r="HP31" s="35"/>
      <c r="HQ31" s="35"/>
      <c r="HR31" s="35"/>
      <c r="HS31" s="35"/>
      <c r="HT31" s="35"/>
      <c r="HU31" s="35"/>
      <c r="HV31" s="35"/>
      <c r="HW31" s="35"/>
      <c r="HX31" s="35"/>
      <c r="HY31" s="35"/>
      <c r="HZ31" s="35"/>
      <c r="IA31" s="35"/>
      <c r="IB31" s="35"/>
      <c r="IC31" s="35"/>
      <c r="ID31" s="35"/>
      <c r="IE31" s="35"/>
      <c r="IF31" s="35"/>
      <c r="IG31" s="35"/>
      <c r="IH31" s="35"/>
      <c r="II31" s="35"/>
      <c r="IJ31" s="35"/>
      <c r="IK31" s="35"/>
      <c r="IL31" s="35"/>
      <c r="IM31" s="35"/>
      <c r="IN31" s="35"/>
      <c r="IO31" s="35"/>
      <c r="IP31" s="35"/>
      <c r="IQ31" s="35"/>
      <c r="IR31" s="35"/>
      <c r="IS31" s="35"/>
      <c r="IT31" s="35"/>
      <c r="IU31" s="35"/>
      <c r="IV31" s="35"/>
      <c r="IW31" s="35"/>
      <c r="IX31" s="35"/>
      <c r="IY31" s="35"/>
      <c r="IZ31" s="35"/>
      <c r="JA31" s="35"/>
      <c r="JB31" s="35"/>
      <c r="JC31" s="35"/>
      <c r="JD31" s="35"/>
      <c r="JE31" s="35"/>
      <c r="JF31" s="35"/>
      <c r="JG31" s="35"/>
      <c r="JH31" s="35"/>
      <c r="JI31" s="35"/>
      <c r="JJ31" s="35"/>
      <c r="JK31" s="35"/>
      <c r="JL31" s="35"/>
      <c r="JM31" s="35"/>
      <c r="JN31" s="35"/>
      <c r="JO31" s="35"/>
      <c r="JP31" s="35"/>
      <c r="JQ31" s="35"/>
      <c r="JR31" s="35"/>
      <c r="JS31" s="35"/>
      <c r="JT31" s="35"/>
      <c r="JU31" s="35"/>
      <c r="JV31" s="35"/>
      <c r="JW31" s="35"/>
      <c r="JX31" s="35"/>
      <c r="JY31" s="35"/>
      <c r="JZ31" s="35"/>
      <c r="KA31" s="35"/>
      <c r="KB31" s="35"/>
      <c r="KC31" s="35"/>
      <c r="KD31" s="35"/>
      <c r="KE31" s="35"/>
      <c r="KF31" s="35"/>
      <c r="KG31" s="35"/>
      <c r="KH31" s="35"/>
      <c r="KI31" s="35"/>
      <c r="KJ31" s="35"/>
      <c r="KK31" s="35"/>
      <c r="KL31" s="35"/>
      <c r="KM31" s="35"/>
      <c r="KN31" s="35"/>
      <c r="KO31" s="35"/>
      <c r="KP31" s="35"/>
      <c r="KQ31" s="35"/>
      <c r="KR31" s="35"/>
      <c r="KS31" s="35"/>
      <c r="KT31" s="35"/>
      <c r="KU31" s="35"/>
      <c r="KV31" s="35"/>
      <c r="KW31" s="35"/>
      <c r="KX31" s="35"/>
      <c r="KY31" s="35"/>
      <c r="KZ31" s="35"/>
      <c r="LA31" s="35"/>
      <c r="LB31" s="35"/>
      <c r="LC31" s="35"/>
      <c r="LD31" s="35"/>
      <c r="LE31" s="35"/>
      <c r="LF31" s="35"/>
      <c r="LG31" s="35"/>
      <c r="LH31" s="35"/>
      <c r="LI31" s="35"/>
      <c r="LJ31" s="35"/>
      <c r="LK31" s="35"/>
      <c r="LL31" s="35"/>
      <c r="LM31" s="35"/>
      <c r="LN31" s="35"/>
      <c r="LO31" s="35"/>
      <c r="LP31" s="35"/>
      <c r="LQ31" s="35"/>
      <c r="LR31" s="35"/>
      <c r="LS31" s="35"/>
      <c r="LT31" s="35"/>
      <c r="LU31" s="35"/>
      <c r="LV31" s="35"/>
      <c r="LW31" s="35"/>
      <c r="LX31" s="35"/>
      <c r="LY31" s="35"/>
      <c r="LZ31" s="35"/>
      <c r="MA31" s="35"/>
      <c r="MB31" s="35"/>
      <c r="MC31" s="35"/>
      <c r="MD31" s="35"/>
      <c r="ME31" s="35"/>
      <c r="MF31" s="35"/>
      <c r="MG31" s="35"/>
      <c r="MH31" s="35"/>
      <c r="MI31" s="35"/>
      <c r="MJ31" s="35"/>
      <c r="MK31" s="35"/>
      <c r="ML31" s="35"/>
    </row>
    <row r="32" spans="2:382" x14ac:dyDescent="0.4">
      <c r="B32" s="33">
        <v>46266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  <c r="GS32" s="36"/>
      <c r="GT32" s="36"/>
      <c r="GU32" s="36"/>
      <c r="GV32" s="36"/>
      <c r="GW32" s="36"/>
      <c r="GX32" s="36"/>
      <c r="GY32" s="36"/>
      <c r="GZ32" s="36"/>
      <c r="HA32" s="36"/>
      <c r="HB32" s="36"/>
      <c r="HC32" s="36"/>
      <c r="HD32" s="36"/>
      <c r="HE32" s="36"/>
      <c r="HF32" s="36"/>
      <c r="HG32" s="36"/>
      <c r="HH32" s="36"/>
      <c r="HI32" s="36"/>
      <c r="HJ32" s="36"/>
      <c r="HK32" s="36"/>
      <c r="HL32" s="36"/>
      <c r="HM32" s="36"/>
      <c r="HN32" s="36"/>
      <c r="HO32" s="36"/>
      <c r="HP32" s="36"/>
      <c r="HQ32" s="36"/>
      <c r="HR32" s="36"/>
      <c r="HS32" s="36"/>
      <c r="HT32" s="36"/>
      <c r="HU32" s="36"/>
      <c r="HV32" s="36"/>
      <c r="HW32" s="36"/>
      <c r="HX32" s="36"/>
      <c r="HY32" s="36"/>
      <c r="HZ32" s="36"/>
      <c r="IA32" s="36"/>
      <c r="IB32" s="36"/>
      <c r="IC32" s="36"/>
      <c r="ID32" s="36"/>
      <c r="IE32" s="36"/>
      <c r="IF32" s="36"/>
      <c r="IG32" s="36"/>
      <c r="IH32" s="36"/>
      <c r="II32" s="36"/>
      <c r="IJ32" s="36"/>
      <c r="IK32" s="36"/>
      <c r="IL32" s="36"/>
      <c r="IM32" s="36"/>
      <c r="IN32" s="36"/>
      <c r="IO32" s="36"/>
      <c r="IP32" s="36"/>
      <c r="IQ32" s="36"/>
      <c r="IR32" s="36"/>
      <c r="IS32" s="36"/>
      <c r="IT32" s="36"/>
      <c r="IU32" s="36"/>
      <c r="IV32" s="36"/>
      <c r="IW32" s="36"/>
      <c r="IX32" s="36"/>
      <c r="IY32" s="36"/>
      <c r="IZ32" s="36"/>
      <c r="JA32" s="36"/>
      <c r="JB32" s="36"/>
      <c r="JC32" s="36"/>
      <c r="JD32" s="36"/>
      <c r="JE32" s="36"/>
      <c r="JF32" s="36"/>
      <c r="JG32" s="36"/>
      <c r="JH32" s="36"/>
      <c r="JI32" s="36"/>
      <c r="JJ32" s="36"/>
      <c r="JK32" s="36"/>
      <c r="JL32" s="36"/>
      <c r="JM32" s="36"/>
      <c r="JN32" s="36"/>
      <c r="JO32" s="36"/>
      <c r="JP32" s="36"/>
      <c r="JQ32" s="36"/>
      <c r="JR32" s="36"/>
      <c r="JS32" s="36"/>
      <c r="JT32" s="36"/>
      <c r="JU32" s="36"/>
      <c r="JV32" s="36"/>
      <c r="JW32" s="36"/>
      <c r="JX32" s="36"/>
      <c r="JY32" s="36"/>
      <c r="JZ32" s="36"/>
      <c r="KA32" s="36"/>
      <c r="KB32" s="36"/>
      <c r="KC32" s="36"/>
      <c r="KD32" s="36"/>
      <c r="KE32" s="36"/>
      <c r="KF32" s="36"/>
      <c r="KG32" s="36"/>
      <c r="KH32" s="36"/>
      <c r="KI32" s="36"/>
      <c r="KJ32" s="36"/>
      <c r="KK32" s="36"/>
      <c r="KL32" s="36"/>
      <c r="KM32" s="36"/>
      <c r="KN32" s="36"/>
      <c r="KO32" s="36"/>
      <c r="KP32" s="36"/>
      <c r="KQ32" s="36"/>
      <c r="KR32" s="36"/>
      <c r="KS32" s="36"/>
      <c r="KT32" s="36"/>
      <c r="KU32" s="36"/>
      <c r="KV32" s="36"/>
      <c r="KW32" s="36"/>
      <c r="KX32" s="36"/>
      <c r="KY32" s="36"/>
      <c r="KZ32" s="36"/>
      <c r="LA32" s="36"/>
      <c r="LB32" s="36"/>
      <c r="LC32" s="36"/>
      <c r="LD32" s="36"/>
      <c r="LE32" s="36"/>
      <c r="LF32" s="36"/>
      <c r="LG32" s="36"/>
      <c r="LH32" s="36"/>
      <c r="LI32" s="36"/>
      <c r="LJ32" s="36"/>
      <c r="LK32" s="36"/>
      <c r="LL32" s="36"/>
      <c r="LM32" s="36"/>
      <c r="LN32" s="36"/>
      <c r="LO32" s="36"/>
      <c r="LP32" s="36"/>
      <c r="LQ32" s="36"/>
      <c r="LR32" s="36"/>
      <c r="LS32" s="36"/>
      <c r="LT32" s="36"/>
      <c r="LU32" s="36"/>
      <c r="LV32" s="36"/>
      <c r="LW32" s="36"/>
      <c r="LX32" s="36"/>
      <c r="LY32" s="36"/>
      <c r="LZ32" s="36"/>
      <c r="MA32" s="36"/>
      <c r="MB32" s="36"/>
      <c r="MC32" s="36"/>
      <c r="MD32" s="36"/>
      <c r="ME32" s="36"/>
      <c r="MF32" s="36"/>
      <c r="MG32" s="36"/>
      <c r="MH32" s="36"/>
      <c r="MI32" s="36"/>
      <c r="MJ32" s="36"/>
      <c r="MK32" s="36"/>
      <c r="ML32" s="36"/>
    </row>
    <row r="33" spans="2:350" x14ac:dyDescent="0.4">
      <c r="B33" s="33">
        <v>46296</v>
      </c>
      <c r="C33" s="34"/>
      <c r="D33" s="34"/>
      <c r="E33" s="34"/>
      <c r="F33" s="34"/>
      <c r="G33" s="30"/>
      <c r="H33" s="30"/>
      <c r="I33" s="34"/>
      <c r="J33" s="34"/>
      <c r="K33" s="34"/>
      <c r="L33" s="30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  <c r="GT33" s="35"/>
      <c r="GU33" s="35"/>
      <c r="GV33" s="35"/>
      <c r="GW33" s="35"/>
      <c r="GX33" s="35"/>
      <c r="GY33" s="35"/>
      <c r="GZ33" s="35"/>
      <c r="HA33" s="35"/>
      <c r="HB33" s="35"/>
      <c r="HC33" s="35"/>
      <c r="HD33" s="35"/>
      <c r="HE33" s="35"/>
      <c r="HF33" s="35"/>
      <c r="HG33" s="35"/>
      <c r="HH33" s="35"/>
      <c r="HI33" s="35"/>
      <c r="HJ33" s="35"/>
      <c r="HK33" s="35"/>
      <c r="HL33" s="35"/>
      <c r="HM33" s="35"/>
      <c r="HN33" s="35"/>
      <c r="HO33" s="35"/>
      <c r="HP33" s="35"/>
      <c r="HQ33" s="35"/>
      <c r="HR33" s="35"/>
      <c r="HS33" s="35"/>
      <c r="HT33" s="35"/>
      <c r="HU33" s="35"/>
      <c r="HV33" s="35"/>
      <c r="HW33" s="35"/>
      <c r="HX33" s="35"/>
      <c r="HY33" s="35"/>
      <c r="HZ33" s="35"/>
      <c r="IA33" s="35"/>
      <c r="IB33" s="35"/>
      <c r="IC33" s="35"/>
      <c r="ID33" s="35"/>
      <c r="IE33" s="35"/>
      <c r="IF33" s="35"/>
      <c r="IG33" s="35"/>
      <c r="IH33" s="35"/>
      <c r="II33" s="35"/>
      <c r="IJ33" s="35"/>
      <c r="IK33" s="35"/>
      <c r="IL33" s="35"/>
      <c r="IM33" s="35"/>
      <c r="IN33" s="35"/>
      <c r="IO33" s="35"/>
      <c r="IP33" s="35"/>
      <c r="IQ33" s="35"/>
      <c r="IR33" s="35"/>
      <c r="IS33" s="35"/>
      <c r="IT33" s="35"/>
      <c r="IU33" s="35"/>
      <c r="IV33" s="35"/>
      <c r="IW33" s="35"/>
      <c r="IX33" s="35"/>
      <c r="IY33" s="35"/>
      <c r="IZ33" s="35"/>
      <c r="JA33" s="35"/>
      <c r="JB33" s="35"/>
      <c r="JC33" s="35"/>
      <c r="JD33" s="35"/>
      <c r="JE33" s="35"/>
      <c r="JF33" s="35"/>
      <c r="JG33" s="35"/>
      <c r="JH33" s="35"/>
      <c r="JI33" s="35"/>
      <c r="JJ33" s="35"/>
      <c r="JK33" s="35"/>
      <c r="JL33" s="35"/>
      <c r="JM33" s="35"/>
      <c r="JN33" s="35"/>
      <c r="JO33" s="35"/>
      <c r="JP33" s="35"/>
      <c r="JQ33" s="35"/>
      <c r="JR33" s="35"/>
      <c r="JS33" s="35"/>
      <c r="JT33" s="35"/>
      <c r="JU33" s="35"/>
      <c r="JV33" s="35"/>
      <c r="JW33" s="35"/>
      <c r="JX33" s="35"/>
      <c r="JY33" s="35"/>
      <c r="JZ33" s="35"/>
      <c r="KA33" s="35"/>
      <c r="KB33" s="35"/>
      <c r="KC33" s="35"/>
      <c r="KD33" s="35"/>
      <c r="KE33" s="35"/>
      <c r="KF33" s="35"/>
      <c r="KG33" s="35"/>
      <c r="KH33" s="35"/>
      <c r="KI33" s="35"/>
      <c r="KJ33" s="35"/>
      <c r="KK33" s="35"/>
      <c r="KL33" s="35"/>
      <c r="KM33" s="35"/>
      <c r="KN33" s="35"/>
      <c r="KO33" s="35"/>
      <c r="KP33" s="35"/>
      <c r="KQ33" s="35"/>
      <c r="KR33" s="35"/>
      <c r="KS33" s="35"/>
      <c r="KT33" s="35"/>
      <c r="KU33" s="35"/>
      <c r="KV33" s="35"/>
      <c r="KW33" s="35"/>
      <c r="KX33" s="35"/>
      <c r="KY33" s="35"/>
      <c r="KZ33" s="35"/>
      <c r="LA33" s="35"/>
      <c r="LB33" s="35"/>
      <c r="LC33" s="35"/>
      <c r="LD33" s="35"/>
      <c r="LE33" s="35"/>
      <c r="LF33" s="35"/>
      <c r="LG33" s="35"/>
      <c r="LH33" s="35"/>
      <c r="LI33" s="35"/>
      <c r="LJ33" s="35"/>
      <c r="LK33" s="35"/>
      <c r="LL33" s="35"/>
      <c r="LM33" s="35"/>
      <c r="LN33" s="35"/>
      <c r="LO33" s="35"/>
      <c r="LP33" s="35"/>
      <c r="LQ33" s="35"/>
      <c r="LR33" s="35"/>
      <c r="LS33" s="35"/>
      <c r="LT33" s="35"/>
      <c r="LU33" s="35"/>
      <c r="LV33" s="35"/>
      <c r="LW33" s="35"/>
      <c r="LX33" s="35"/>
      <c r="LY33" s="35"/>
      <c r="LZ33" s="35"/>
      <c r="MA33" s="35"/>
      <c r="MB33" s="35"/>
      <c r="MC33" s="35"/>
      <c r="MD33" s="35"/>
      <c r="ME33" s="35"/>
      <c r="MF33" s="35"/>
      <c r="MG33" s="35"/>
      <c r="MH33" s="35"/>
      <c r="MI33" s="35"/>
      <c r="MJ33" s="35"/>
      <c r="MK33" s="35"/>
      <c r="ML33" s="35"/>
    </row>
    <row r="34" spans="2:350" x14ac:dyDescent="0.4">
      <c r="B34" s="33">
        <v>46327</v>
      </c>
      <c r="C34" s="34"/>
      <c r="D34" s="34"/>
      <c r="E34" s="34"/>
      <c r="F34" s="34"/>
      <c r="G34" s="34"/>
      <c r="H34" s="30"/>
      <c r="I34" s="34"/>
      <c r="J34" s="34"/>
      <c r="K34" s="34"/>
      <c r="L34" s="34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  <c r="EY34" s="35"/>
      <c r="EZ34" s="35"/>
      <c r="FA34" s="35"/>
      <c r="FB34" s="35"/>
      <c r="FC34" s="35"/>
      <c r="FD34" s="35"/>
      <c r="FE34" s="35"/>
      <c r="FF34" s="35"/>
      <c r="FG34" s="35"/>
      <c r="FH34" s="35"/>
      <c r="FI34" s="35"/>
      <c r="FJ34" s="35"/>
      <c r="FK34" s="35"/>
      <c r="FL34" s="35"/>
      <c r="FM34" s="35"/>
      <c r="FN34" s="35"/>
      <c r="FO34" s="35"/>
      <c r="FP34" s="35"/>
      <c r="FQ34" s="35"/>
      <c r="FR34" s="35"/>
      <c r="FS34" s="35"/>
      <c r="FT34" s="35"/>
      <c r="FU34" s="35"/>
      <c r="FV34" s="35"/>
      <c r="FW34" s="35"/>
      <c r="FX34" s="35"/>
      <c r="FY34" s="35"/>
      <c r="FZ34" s="35"/>
      <c r="GA34" s="35"/>
      <c r="GB34" s="35"/>
      <c r="GC34" s="35"/>
      <c r="GD34" s="35"/>
      <c r="GE34" s="35"/>
      <c r="GF34" s="35"/>
      <c r="GG34" s="35"/>
      <c r="GH34" s="35"/>
      <c r="GI34" s="35"/>
      <c r="GJ34" s="35"/>
      <c r="GK34" s="35"/>
      <c r="GL34" s="35"/>
      <c r="GM34" s="35"/>
      <c r="GN34" s="35"/>
      <c r="GO34" s="35"/>
      <c r="GP34" s="35"/>
      <c r="GQ34" s="35"/>
      <c r="GR34" s="35"/>
      <c r="GS34" s="35"/>
      <c r="GT34" s="35"/>
      <c r="GU34" s="35"/>
      <c r="GV34" s="35"/>
      <c r="GW34" s="35"/>
      <c r="GX34" s="35"/>
      <c r="GY34" s="35"/>
      <c r="GZ34" s="35"/>
      <c r="HA34" s="35"/>
      <c r="HB34" s="35"/>
      <c r="HC34" s="35"/>
      <c r="HD34" s="35"/>
      <c r="HE34" s="35"/>
      <c r="HF34" s="35"/>
      <c r="HG34" s="35"/>
      <c r="HH34" s="35"/>
      <c r="HI34" s="35"/>
      <c r="HJ34" s="35"/>
      <c r="HK34" s="35"/>
      <c r="HL34" s="35"/>
      <c r="HM34" s="35"/>
      <c r="HN34" s="35"/>
      <c r="HO34" s="35"/>
      <c r="HP34" s="35"/>
      <c r="HQ34" s="35"/>
      <c r="HR34" s="35"/>
      <c r="HS34" s="35"/>
      <c r="HT34" s="35"/>
      <c r="HU34" s="35"/>
      <c r="HV34" s="35"/>
      <c r="HW34" s="35"/>
      <c r="HX34" s="35"/>
      <c r="HY34" s="35"/>
      <c r="HZ34" s="35"/>
      <c r="IA34" s="35"/>
      <c r="IB34" s="35"/>
      <c r="IC34" s="35"/>
      <c r="ID34" s="35"/>
      <c r="IE34" s="35"/>
      <c r="IF34" s="35"/>
      <c r="IG34" s="35"/>
      <c r="IH34" s="35"/>
      <c r="II34" s="35"/>
      <c r="IJ34" s="35"/>
      <c r="IK34" s="35"/>
      <c r="IL34" s="35"/>
      <c r="IM34" s="35"/>
      <c r="IN34" s="35"/>
      <c r="IO34" s="35"/>
      <c r="IP34" s="35"/>
      <c r="IQ34" s="35"/>
      <c r="IR34" s="35"/>
      <c r="IS34" s="35"/>
      <c r="IT34" s="35"/>
      <c r="IU34" s="35"/>
      <c r="IV34" s="35"/>
      <c r="IW34" s="35"/>
      <c r="IX34" s="35"/>
      <c r="IY34" s="35"/>
      <c r="IZ34" s="35"/>
      <c r="JA34" s="35"/>
      <c r="JB34" s="35"/>
      <c r="JC34" s="35"/>
      <c r="JD34" s="35"/>
      <c r="JE34" s="35"/>
      <c r="JF34" s="35"/>
      <c r="JG34" s="35"/>
      <c r="JH34" s="35"/>
      <c r="JI34" s="35"/>
      <c r="JJ34" s="35"/>
      <c r="JK34" s="35"/>
      <c r="JL34" s="35"/>
      <c r="JM34" s="35"/>
      <c r="JN34" s="35"/>
      <c r="JO34" s="35"/>
      <c r="JP34" s="35"/>
      <c r="JQ34" s="35"/>
      <c r="JR34" s="35"/>
      <c r="JS34" s="35"/>
      <c r="JT34" s="35"/>
      <c r="JU34" s="35"/>
      <c r="JV34" s="35"/>
      <c r="JW34" s="35"/>
      <c r="JX34" s="35"/>
      <c r="JY34" s="35"/>
      <c r="JZ34" s="35"/>
      <c r="KA34" s="35"/>
      <c r="KB34" s="35"/>
      <c r="KC34" s="35"/>
      <c r="KD34" s="35"/>
      <c r="KE34" s="35"/>
      <c r="KF34" s="35"/>
      <c r="KG34" s="35"/>
      <c r="KH34" s="35"/>
      <c r="KI34" s="35"/>
      <c r="KJ34" s="35"/>
      <c r="KK34" s="35"/>
      <c r="KL34" s="35"/>
      <c r="KM34" s="35"/>
      <c r="KN34" s="35"/>
      <c r="KO34" s="35"/>
      <c r="KP34" s="35"/>
      <c r="KQ34" s="35"/>
      <c r="KR34" s="35"/>
      <c r="KS34" s="35"/>
      <c r="KT34" s="35"/>
      <c r="KU34" s="35"/>
      <c r="KV34" s="35"/>
      <c r="KW34" s="35"/>
      <c r="KX34" s="35"/>
      <c r="KY34" s="35"/>
      <c r="KZ34" s="35"/>
      <c r="LA34" s="35"/>
      <c r="LB34" s="35"/>
      <c r="LC34" s="35"/>
      <c r="LD34" s="35"/>
      <c r="LE34" s="35"/>
      <c r="LF34" s="35"/>
      <c r="LG34" s="35"/>
      <c r="LH34" s="35"/>
      <c r="LI34" s="35"/>
      <c r="LJ34" s="35"/>
      <c r="LK34" s="35"/>
      <c r="LL34" s="35"/>
      <c r="LM34" s="35"/>
      <c r="LN34" s="35"/>
      <c r="LO34" s="35"/>
      <c r="LP34" s="35"/>
      <c r="LQ34" s="35"/>
      <c r="LR34" s="35"/>
      <c r="LS34" s="35"/>
      <c r="LT34" s="35"/>
      <c r="LU34" s="35"/>
      <c r="LV34" s="35"/>
      <c r="LW34" s="35"/>
      <c r="LX34" s="35"/>
      <c r="LY34" s="35"/>
      <c r="LZ34" s="35"/>
      <c r="MA34" s="35"/>
      <c r="MB34" s="35"/>
      <c r="MC34" s="35"/>
      <c r="MD34" s="35"/>
      <c r="ME34" s="35"/>
      <c r="MF34" s="35"/>
      <c r="MG34" s="35"/>
      <c r="MH34" s="35"/>
      <c r="MI34" s="35"/>
      <c r="MJ34" s="35"/>
      <c r="MK34" s="35"/>
      <c r="ML34" s="35"/>
    </row>
    <row r="35" spans="2:350" x14ac:dyDescent="0.4">
      <c r="B35" s="33">
        <v>46357</v>
      </c>
      <c r="C35" s="34"/>
      <c r="D35" s="34"/>
      <c r="E35" s="34"/>
      <c r="F35" s="34"/>
      <c r="G35" s="30"/>
      <c r="H35" s="30"/>
      <c r="I35" s="34"/>
      <c r="J35" s="34"/>
      <c r="K35" s="34"/>
      <c r="L35" s="34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  <c r="GT35" s="35"/>
      <c r="GU35" s="35"/>
      <c r="GV35" s="35"/>
      <c r="GW35" s="35"/>
      <c r="GX35" s="35"/>
      <c r="GY35" s="35"/>
      <c r="GZ35" s="35"/>
      <c r="HA35" s="35"/>
      <c r="HB35" s="35"/>
      <c r="HC35" s="35"/>
      <c r="HD35" s="35"/>
      <c r="HE35" s="35"/>
      <c r="HF35" s="35"/>
      <c r="HG35" s="35"/>
      <c r="HH35" s="35"/>
      <c r="HI35" s="35"/>
      <c r="HJ35" s="35"/>
      <c r="HK35" s="35"/>
      <c r="HL35" s="35"/>
      <c r="HM35" s="35"/>
      <c r="HN35" s="35"/>
      <c r="HO35" s="35"/>
      <c r="HP35" s="35"/>
      <c r="HQ35" s="35"/>
      <c r="HR35" s="35"/>
      <c r="HS35" s="35"/>
      <c r="HT35" s="35"/>
      <c r="HU35" s="35"/>
      <c r="HV35" s="35"/>
      <c r="HW35" s="35"/>
      <c r="HX35" s="35"/>
      <c r="HY35" s="35"/>
      <c r="HZ35" s="35"/>
      <c r="IA35" s="35"/>
      <c r="IB35" s="35"/>
      <c r="IC35" s="35"/>
      <c r="ID35" s="35"/>
      <c r="IE35" s="35"/>
      <c r="IF35" s="35"/>
      <c r="IG35" s="35"/>
      <c r="IH35" s="35"/>
      <c r="II35" s="35"/>
      <c r="IJ35" s="35"/>
      <c r="IK35" s="35"/>
      <c r="IL35" s="35"/>
      <c r="IM35" s="35"/>
      <c r="IN35" s="35"/>
      <c r="IO35" s="35"/>
      <c r="IP35" s="35"/>
      <c r="IQ35" s="35"/>
      <c r="IR35" s="35"/>
      <c r="IS35" s="35"/>
      <c r="IT35" s="35"/>
      <c r="IU35" s="35"/>
      <c r="IV35" s="35"/>
      <c r="IW35" s="35"/>
      <c r="IX35" s="35"/>
      <c r="IY35" s="35"/>
      <c r="IZ35" s="35"/>
      <c r="JA35" s="35"/>
      <c r="JB35" s="35"/>
      <c r="JC35" s="35"/>
      <c r="JD35" s="35"/>
      <c r="JE35" s="35"/>
      <c r="JF35" s="35"/>
      <c r="JG35" s="35"/>
      <c r="JH35" s="35"/>
      <c r="JI35" s="35"/>
      <c r="JJ35" s="35"/>
      <c r="JK35" s="35"/>
      <c r="JL35" s="35"/>
      <c r="JM35" s="35"/>
      <c r="JN35" s="35"/>
      <c r="JO35" s="35"/>
      <c r="JP35" s="35"/>
      <c r="JQ35" s="35"/>
      <c r="JR35" s="35"/>
      <c r="JS35" s="35"/>
      <c r="JT35" s="35"/>
      <c r="JU35" s="35"/>
      <c r="JV35" s="35"/>
      <c r="JW35" s="35"/>
      <c r="JX35" s="35"/>
      <c r="JY35" s="35"/>
      <c r="JZ35" s="35"/>
      <c r="KA35" s="35"/>
      <c r="KB35" s="35"/>
      <c r="KC35" s="35"/>
      <c r="KD35" s="35"/>
      <c r="KE35" s="35"/>
      <c r="KF35" s="35"/>
      <c r="KG35" s="35"/>
      <c r="KH35" s="35"/>
      <c r="KI35" s="35"/>
      <c r="KJ35" s="35"/>
      <c r="KK35" s="35"/>
      <c r="KL35" s="35"/>
      <c r="KM35" s="35"/>
      <c r="KN35" s="35"/>
      <c r="KO35" s="35"/>
      <c r="KP35" s="35"/>
      <c r="KQ35" s="35"/>
      <c r="KR35" s="35"/>
      <c r="KS35" s="35"/>
      <c r="KT35" s="35"/>
      <c r="KU35" s="35"/>
      <c r="KV35" s="35"/>
      <c r="KW35" s="35"/>
      <c r="KX35" s="35"/>
      <c r="KY35" s="35"/>
      <c r="KZ35" s="35"/>
      <c r="LA35" s="35"/>
      <c r="LB35" s="35"/>
      <c r="LC35" s="35"/>
      <c r="LD35" s="35"/>
      <c r="LE35" s="35"/>
      <c r="LF35" s="35"/>
      <c r="LG35" s="35"/>
      <c r="LH35" s="35"/>
      <c r="LI35" s="35"/>
      <c r="LJ35" s="35"/>
      <c r="LK35" s="35"/>
      <c r="LL35" s="35"/>
      <c r="LM35" s="35"/>
      <c r="LN35" s="35"/>
      <c r="LO35" s="35"/>
      <c r="LP35" s="35"/>
      <c r="LQ35" s="35"/>
      <c r="LR35" s="35"/>
      <c r="LS35" s="35"/>
      <c r="LT35" s="35"/>
      <c r="LU35" s="35"/>
      <c r="LV35" s="35"/>
      <c r="LW35" s="35"/>
      <c r="LX35" s="35"/>
      <c r="LY35" s="35"/>
      <c r="LZ35" s="35"/>
      <c r="MA35" s="35"/>
      <c r="MB35" s="35"/>
      <c r="MC35" s="35"/>
      <c r="MD35" s="35"/>
      <c r="ME35" s="35"/>
      <c r="MF35" s="35"/>
      <c r="MG35" s="35"/>
      <c r="MH35" s="35"/>
      <c r="MI35" s="35"/>
      <c r="MJ35" s="35"/>
      <c r="MK35" s="35"/>
      <c r="ML35" s="35"/>
    </row>
    <row r="36" spans="2:350" x14ac:dyDescent="0.4">
      <c r="B36" s="33">
        <v>46388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5"/>
      <c r="FM36" s="35"/>
      <c r="FN36" s="35"/>
      <c r="FO36" s="35"/>
      <c r="FP36" s="35"/>
      <c r="FQ36" s="35"/>
      <c r="FR36" s="35"/>
      <c r="FS36" s="35"/>
      <c r="FT36" s="35"/>
      <c r="FU36" s="35"/>
      <c r="FV36" s="35"/>
      <c r="FW36" s="35"/>
      <c r="FX36" s="35"/>
      <c r="FY36" s="35"/>
      <c r="FZ36" s="35"/>
      <c r="GA36" s="35"/>
      <c r="GB36" s="35"/>
      <c r="GC36" s="35"/>
      <c r="GD36" s="35"/>
      <c r="GE36" s="35"/>
      <c r="GF36" s="35"/>
      <c r="GG36" s="35"/>
      <c r="GH36" s="35"/>
      <c r="GI36" s="35"/>
      <c r="GJ36" s="35"/>
      <c r="GK36" s="35"/>
      <c r="GL36" s="35"/>
      <c r="GM36" s="35"/>
      <c r="GN36" s="35"/>
      <c r="GO36" s="35"/>
      <c r="GP36" s="35"/>
      <c r="GQ36" s="35"/>
      <c r="GR36" s="35"/>
      <c r="GS36" s="35"/>
      <c r="GT36" s="35"/>
      <c r="GU36" s="35"/>
      <c r="GV36" s="35"/>
      <c r="GW36" s="35"/>
      <c r="GX36" s="35"/>
      <c r="GY36" s="35"/>
      <c r="GZ36" s="35"/>
      <c r="HA36" s="35"/>
      <c r="HB36" s="35"/>
      <c r="HC36" s="35"/>
      <c r="HD36" s="35"/>
      <c r="HE36" s="35"/>
      <c r="HF36" s="35"/>
      <c r="HG36" s="35"/>
      <c r="HH36" s="35"/>
      <c r="HI36" s="35"/>
      <c r="HJ36" s="35"/>
      <c r="HK36" s="35"/>
      <c r="HL36" s="35"/>
      <c r="HM36" s="35"/>
      <c r="HN36" s="35"/>
      <c r="HO36" s="35"/>
      <c r="HP36" s="35"/>
      <c r="HQ36" s="35"/>
      <c r="HR36" s="35"/>
      <c r="HS36" s="35"/>
      <c r="HT36" s="35"/>
      <c r="HU36" s="35"/>
      <c r="HV36" s="35"/>
      <c r="HW36" s="35"/>
      <c r="HX36" s="35"/>
      <c r="HY36" s="35"/>
      <c r="HZ36" s="35"/>
      <c r="IA36" s="35"/>
      <c r="IB36" s="35"/>
      <c r="IC36" s="35"/>
      <c r="ID36" s="35"/>
      <c r="IE36" s="35"/>
      <c r="IF36" s="35"/>
      <c r="IG36" s="35"/>
      <c r="IH36" s="35"/>
      <c r="II36" s="35"/>
      <c r="IJ36" s="35"/>
      <c r="IK36" s="35"/>
      <c r="IL36" s="35"/>
      <c r="IM36" s="35"/>
      <c r="IN36" s="35"/>
      <c r="IO36" s="35"/>
      <c r="IP36" s="35"/>
      <c r="IQ36" s="35"/>
      <c r="IR36" s="35"/>
      <c r="IS36" s="35"/>
      <c r="IT36" s="35"/>
      <c r="IU36" s="35"/>
      <c r="IV36" s="35"/>
      <c r="IW36" s="35"/>
      <c r="IX36" s="35"/>
      <c r="IY36" s="35"/>
      <c r="IZ36" s="35"/>
      <c r="JA36" s="35"/>
      <c r="JB36" s="35"/>
      <c r="JC36" s="35"/>
      <c r="JD36" s="35"/>
      <c r="JE36" s="35"/>
      <c r="JF36" s="35"/>
      <c r="JG36" s="35"/>
      <c r="JH36" s="35"/>
      <c r="JI36" s="35"/>
      <c r="JJ36" s="35"/>
      <c r="JK36" s="35"/>
      <c r="JL36" s="35"/>
      <c r="JM36" s="35"/>
      <c r="JN36" s="35"/>
      <c r="JO36" s="35"/>
      <c r="JP36" s="35"/>
      <c r="JQ36" s="35"/>
      <c r="JR36" s="35"/>
      <c r="JS36" s="35"/>
      <c r="JT36" s="35"/>
      <c r="JU36" s="35"/>
      <c r="JV36" s="35"/>
      <c r="JW36" s="35"/>
      <c r="JX36" s="35"/>
      <c r="JY36" s="35"/>
      <c r="JZ36" s="35"/>
      <c r="KA36" s="35"/>
      <c r="KB36" s="35"/>
      <c r="KC36" s="35"/>
      <c r="KD36" s="35"/>
      <c r="KE36" s="35"/>
      <c r="KF36" s="35"/>
      <c r="KG36" s="35"/>
      <c r="KH36" s="35"/>
      <c r="KI36" s="35"/>
      <c r="KJ36" s="35"/>
      <c r="KK36" s="35"/>
      <c r="KL36" s="35"/>
      <c r="KM36" s="35"/>
      <c r="KN36" s="35"/>
      <c r="KO36" s="35"/>
      <c r="KP36" s="35"/>
      <c r="KQ36" s="35"/>
      <c r="KR36" s="35"/>
      <c r="KS36" s="35"/>
      <c r="KT36" s="35"/>
      <c r="KU36" s="35"/>
      <c r="KV36" s="35"/>
      <c r="KW36" s="35"/>
      <c r="KX36" s="35"/>
      <c r="KY36" s="35"/>
      <c r="KZ36" s="35"/>
      <c r="LA36" s="35"/>
      <c r="LB36" s="35"/>
      <c r="LC36" s="35"/>
      <c r="LD36" s="35"/>
      <c r="LE36" s="35"/>
      <c r="LF36" s="35"/>
      <c r="LG36" s="35"/>
      <c r="LH36" s="35"/>
      <c r="LI36" s="35"/>
      <c r="LJ36" s="35"/>
      <c r="LK36" s="35"/>
      <c r="LL36" s="35"/>
      <c r="LM36" s="35"/>
      <c r="LN36" s="35"/>
      <c r="LO36" s="35"/>
      <c r="LP36" s="35"/>
      <c r="LQ36" s="35"/>
      <c r="LR36" s="35"/>
      <c r="LS36" s="35"/>
      <c r="LT36" s="35"/>
      <c r="LU36" s="35"/>
      <c r="LV36" s="35"/>
      <c r="LW36" s="35"/>
      <c r="LX36" s="35"/>
      <c r="LY36" s="35"/>
      <c r="LZ36" s="35"/>
      <c r="MA36" s="35"/>
      <c r="MB36" s="35"/>
      <c r="MC36" s="35"/>
      <c r="MD36" s="35"/>
      <c r="ME36" s="35"/>
      <c r="MF36" s="35"/>
      <c r="MG36" s="35"/>
      <c r="MH36" s="35"/>
      <c r="MI36" s="35"/>
      <c r="MJ36" s="35"/>
      <c r="MK36" s="35"/>
      <c r="ML36" s="35"/>
    </row>
    <row r="37" spans="2:350" x14ac:dyDescent="0.4">
      <c r="B37" s="33">
        <v>46419</v>
      </c>
      <c r="C37" s="34"/>
      <c r="D37" s="34"/>
      <c r="E37" s="34"/>
      <c r="F37" s="34"/>
      <c r="G37" s="34"/>
      <c r="H37" s="34"/>
      <c r="I37" s="34"/>
      <c r="J37" s="34"/>
      <c r="K37" s="34"/>
      <c r="L37" s="34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  <c r="EY37" s="35"/>
      <c r="EZ37" s="35"/>
      <c r="FA37" s="35"/>
      <c r="FB37" s="35"/>
      <c r="FC37" s="35"/>
      <c r="FD37" s="35"/>
      <c r="FE37" s="35"/>
      <c r="FF37" s="35"/>
      <c r="FG37" s="35"/>
      <c r="FH37" s="35"/>
      <c r="FI37" s="35"/>
      <c r="FJ37" s="35"/>
      <c r="FK37" s="35"/>
      <c r="FL37" s="35"/>
      <c r="FM37" s="35"/>
      <c r="FN37" s="35"/>
      <c r="FO37" s="35"/>
      <c r="FP37" s="35"/>
      <c r="FQ37" s="35"/>
      <c r="FR37" s="35"/>
      <c r="FS37" s="35"/>
      <c r="FT37" s="35"/>
      <c r="FU37" s="35"/>
      <c r="FV37" s="35"/>
      <c r="FW37" s="35"/>
      <c r="FX37" s="35"/>
      <c r="FY37" s="35"/>
      <c r="FZ37" s="35"/>
      <c r="GA37" s="35"/>
      <c r="GB37" s="35"/>
      <c r="GC37" s="35"/>
      <c r="GD37" s="35"/>
      <c r="GE37" s="35"/>
      <c r="GF37" s="35"/>
      <c r="GG37" s="35"/>
      <c r="GH37" s="35"/>
      <c r="GI37" s="35"/>
      <c r="GJ37" s="35"/>
      <c r="GK37" s="35"/>
      <c r="GL37" s="35"/>
      <c r="GM37" s="35"/>
      <c r="GN37" s="35"/>
      <c r="GO37" s="35"/>
      <c r="GP37" s="35"/>
      <c r="GQ37" s="35"/>
      <c r="GR37" s="35"/>
      <c r="GS37" s="35"/>
      <c r="GT37" s="35"/>
      <c r="GU37" s="35"/>
      <c r="GV37" s="35"/>
      <c r="GW37" s="35"/>
      <c r="GX37" s="35"/>
      <c r="GY37" s="35"/>
      <c r="GZ37" s="35"/>
      <c r="HA37" s="35"/>
      <c r="HB37" s="35"/>
      <c r="HC37" s="35"/>
      <c r="HD37" s="35"/>
      <c r="HE37" s="35"/>
      <c r="HF37" s="35"/>
      <c r="HG37" s="35"/>
      <c r="HH37" s="35"/>
      <c r="HI37" s="35"/>
      <c r="HJ37" s="35"/>
      <c r="HK37" s="35"/>
      <c r="HL37" s="35"/>
      <c r="HM37" s="35"/>
      <c r="HN37" s="35"/>
      <c r="HO37" s="35"/>
      <c r="HP37" s="35"/>
      <c r="HQ37" s="35"/>
      <c r="HR37" s="35"/>
      <c r="HS37" s="35"/>
      <c r="HT37" s="35"/>
      <c r="HU37" s="35"/>
      <c r="HV37" s="35"/>
      <c r="HW37" s="35"/>
      <c r="HX37" s="35"/>
      <c r="HY37" s="35"/>
      <c r="HZ37" s="35"/>
      <c r="IA37" s="35"/>
      <c r="IB37" s="35"/>
      <c r="IC37" s="35"/>
      <c r="ID37" s="35"/>
      <c r="IE37" s="35"/>
      <c r="IF37" s="35"/>
      <c r="IG37" s="35"/>
      <c r="IH37" s="35"/>
      <c r="II37" s="35"/>
      <c r="IJ37" s="35"/>
      <c r="IK37" s="35"/>
      <c r="IL37" s="35"/>
      <c r="IM37" s="35"/>
      <c r="IN37" s="35"/>
      <c r="IO37" s="35"/>
      <c r="IP37" s="35"/>
      <c r="IQ37" s="35"/>
      <c r="IR37" s="35"/>
      <c r="IS37" s="35"/>
      <c r="IT37" s="35"/>
      <c r="IU37" s="35"/>
      <c r="IV37" s="35"/>
      <c r="IW37" s="35"/>
      <c r="IX37" s="35"/>
      <c r="IY37" s="35"/>
      <c r="IZ37" s="35"/>
      <c r="JA37" s="35"/>
      <c r="JB37" s="35"/>
      <c r="JC37" s="35"/>
      <c r="JD37" s="35"/>
      <c r="JE37" s="35"/>
      <c r="JF37" s="35"/>
      <c r="JG37" s="35"/>
      <c r="JH37" s="35"/>
      <c r="JI37" s="35"/>
      <c r="JJ37" s="35"/>
      <c r="JK37" s="35"/>
      <c r="JL37" s="35"/>
      <c r="JM37" s="35"/>
      <c r="JN37" s="35"/>
      <c r="JO37" s="35"/>
      <c r="JP37" s="35"/>
      <c r="JQ37" s="35"/>
      <c r="JR37" s="35"/>
      <c r="JS37" s="35"/>
      <c r="JT37" s="35"/>
      <c r="JU37" s="35"/>
      <c r="JV37" s="35"/>
      <c r="JW37" s="35"/>
      <c r="JX37" s="35"/>
      <c r="JY37" s="35"/>
      <c r="JZ37" s="35"/>
      <c r="KA37" s="35"/>
      <c r="KB37" s="35"/>
      <c r="KC37" s="35"/>
      <c r="KD37" s="35"/>
      <c r="KE37" s="35"/>
      <c r="KF37" s="35"/>
      <c r="KG37" s="35"/>
      <c r="KH37" s="35"/>
      <c r="KI37" s="35"/>
      <c r="KJ37" s="35"/>
      <c r="KK37" s="35"/>
      <c r="KL37" s="35"/>
      <c r="KM37" s="35"/>
      <c r="KN37" s="35"/>
      <c r="KO37" s="35"/>
      <c r="KP37" s="35"/>
      <c r="KQ37" s="35"/>
      <c r="KR37" s="35"/>
      <c r="KS37" s="35"/>
      <c r="KT37" s="35"/>
      <c r="KU37" s="35"/>
      <c r="KV37" s="35"/>
      <c r="KW37" s="35"/>
      <c r="KX37" s="35"/>
      <c r="KY37" s="35"/>
      <c r="KZ37" s="35"/>
      <c r="LA37" s="35"/>
      <c r="LB37" s="35"/>
      <c r="LC37" s="35"/>
      <c r="LD37" s="35"/>
      <c r="LE37" s="35"/>
      <c r="LF37" s="35"/>
      <c r="LG37" s="35"/>
      <c r="LH37" s="35"/>
      <c r="LI37" s="35"/>
      <c r="LJ37" s="35"/>
      <c r="LK37" s="35"/>
      <c r="LL37" s="35"/>
      <c r="LM37" s="35"/>
      <c r="LN37" s="35"/>
      <c r="LO37" s="35"/>
      <c r="LP37" s="35"/>
      <c r="LQ37" s="35"/>
      <c r="LR37" s="35"/>
      <c r="LS37" s="35"/>
      <c r="LT37" s="35"/>
      <c r="LU37" s="35"/>
      <c r="LV37" s="35"/>
      <c r="LW37" s="35"/>
      <c r="LX37" s="35"/>
      <c r="LY37" s="35"/>
      <c r="LZ37" s="35"/>
      <c r="MA37" s="35"/>
      <c r="MB37" s="35"/>
      <c r="MC37" s="35"/>
      <c r="MD37" s="35"/>
      <c r="ME37" s="35"/>
      <c r="MF37" s="35"/>
      <c r="MG37" s="35"/>
      <c r="MH37" s="35"/>
      <c r="MI37" s="35"/>
      <c r="MJ37" s="35"/>
      <c r="MK37" s="35"/>
      <c r="ML37" s="35"/>
    </row>
    <row r="38" spans="2:350" x14ac:dyDescent="0.4">
      <c r="B38" s="33">
        <v>46447</v>
      </c>
      <c r="C38" s="34"/>
      <c r="D38" s="34"/>
      <c r="E38" s="34"/>
      <c r="F38" s="34"/>
      <c r="G38" s="34"/>
      <c r="H38" s="34"/>
      <c r="I38" s="34"/>
      <c r="J38" s="34"/>
      <c r="K38" s="34"/>
      <c r="L38" s="34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  <c r="EY38" s="35"/>
      <c r="EZ38" s="35"/>
      <c r="FA38" s="35"/>
      <c r="FB38" s="35"/>
      <c r="FC38" s="35"/>
      <c r="FD38" s="35"/>
      <c r="FE38" s="35"/>
      <c r="FF38" s="35"/>
      <c r="FG38" s="35"/>
      <c r="FH38" s="35"/>
      <c r="FI38" s="35"/>
      <c r="FJ38" s="35"/>
      <c r="FK38" s="35"/>
      <c r="FL38" s="35"/>
      <c r="FM38" s="35"/>
      <c r="FN38" s="35"/>
      <c r="FO38" s="35"/>
      <c r="FP38" s="35"/>
      <c r="FQ38" s="35"/>
      <c r="FR38" s="35"/>
      <c r="FS38" s="35"/>
      <c r="FT38" s="35"/>
      <c r="FU38" s="35"/>
      <c r="FV38" s="35"/>
      <c r="FW38" s="35"/>
      <c r="FX38" s="35"/>
      <c r="FY38" s="35"/>
      <c r="FZ38" s="35"/>
      <c r="GA38" s="35"/>
      <c r="GB38" s="35"/>
      <c r="GC38" s="35"/>
      <c r="GD38" s="35"/>
      <c r="GE38" s="35"/>
      <c r="GF38" s="35"/>
      <c r="GG38" s="35"/>
      <c r="GH38" s="35"/>
      <c r="GI38" s="35"/>
      <c r="GJ38" s="35"/>
      <c r="GK38" s="35"/>
      <c r="GL38" s="35"/>
      <c r="GM38" s="35"/>
      <c r="GN38" s="35"/>
      <c r="GO38" s="35"/>
      <c r="GP38" s="35"/>
      <c r="GQ38" s="35"/>
      <c r="GR38" s="35"/>
      <c r="GS38" s="35"/>
      <c r="GT38" s="35"/>
      <c r="GU38" s="35"/>
      <c r="GV38" s="35"/>
      <c r="GW38" s="35"/>
      <c r="GX38" s="35"/>
      <c r="GY38" s="35"/>
      <c r="GZ38" s="35"/>
      <c r="HA38" s="35"/>
      <c r="HB38" s="35"/>
      <c r="HC38" s="35"/>
      <c r="HD38" s="35"/>
      <c r="HE38" s="35"/>
      <c r="HF38" s="35"/>
      <c r="HG38" s="35"/>
      <c r="HH38" s="35"/>
      <c r="HI38" s="35"/>
      <c r="HJ38" s="35"/>
      <c r="HK38" s="35"/>
      <c r="HL38" s="35"/>
      <c r="HM38" s="35"/>
      <c r="HN38" s="35"/>
      <c r="HO38" s="35"/>
      <c r="HP38" s="35"/>
      <c r="HQ38" s="35"/>
      <c r="HR38" s="35"/>
      <c r="HS38" s="35"/>
      <c r="HT38" s="35"/>
      <c r="HU38" s="35"/>
      <c r="HV38" s="35"/>
      <c r="HW38" s="35"/>
      <c r="HX38" s="35"/>
      <c r="HY38" s="35"/>
      <c r="HZ38" s="35"/>
      <c r="IA38" s="35"/>
      <c r="IB38" s="35"/>
      <c r="IC38" s="35"/>
      <c r="ID38" s="35"/>
      <c r="IE38" s="35"/>
      <c r="IF38" s="35"/>
      <c r="IG38" s="35"/>
      <c r="IH38" s="35"/>
      <c r="II38" s="35"/>
      <c r="IJ38" s="35"/>
      <c r="IK38" s="35"/>
      <c r="IL38" s="35"/>
      <c r="IM38" s="35"/>
      <c r="IN38" s="35"/>
      <c r="IO38" s="35"/>
      <c r="IP38" s="35"/>
      <c r="IQ38" s="35"/>
      <c r="IR38" s="35"/>
      <c r="IS38" s="35"/>
      <c r="IT38" s="35"/>
      <c r="IU38" s="35"/>
      <c r="IV38" s="35"/>
      <c r="IW38" s="35"/>
      <c r="IX38" s="35"/>
      <c r="IY38" s="35"/>
      <c r="IZ38" s="35"/>
      <c r="JA38" s="35"/>
      <c r="JB38" s="35"/>
      <c r="JC38" s="35"/>
      <c r="JD38" s="35"/>
      <c r="JE38" s="35"/>
      <c r="JF38" s="35"/>
      <c r="JG38" s="35"/>
      <c r="JH38" s="35"/>
      <c r="JI38" s="35"/>
      <c r="JJ38" s="35"/>
      <c r="JK38" s="35"/>
      <c r="JL38" s="35"/>
      <c r="JM38" s="35"/>
      <c r="JN38" s="35"/>
      <c r="JO38" s="35"/>
      <c r="JP38" s="35"/>
      <c r="JQ38" s="35"/>
      <c r="JR38" s="35"/>
      <c r="JS38" s="35"/>
      <c r="JT38" s="35"/>
      <c r="JU38" s="35"/>
      <c r="JV38" s="35"/>
      <c r="JW38" s="35"/>
      <c r="JX38" s="35"/>
      <c r="JY38" s="35"/>
      <c r="JZ38" s="35"/>
      <c r="KA38" s="35"/>
      <c r="KB38" s="35"/>
      <c r="KC38" s="35"/>
      <c r="KD38" s="35"/>
      <c r="KE38" s="35"/>
      <c r="KF38" s="35"/>
      <c r="KG38" s="35"/>
      <c r="KH38" s="35"/>
      <c r="KI38" s="35"/>
      <c r="KJ38" s="35"/>
      <c r="KK38" s="35"/>
      <c r="KL38" s="35"/>
      <c r="KM38" s="35"/>
      <c r="KN38" s="35"/>
      <c r="KO38" s="35"/>
      <c r="KP38" s="35"/>
      <c r="KQ38" s="35"/>
      <c r="KR38" s="35"/>
      <c r="KS38" s="35"/>
      <c r="KT38" s="35"/>
      <c r="KU38" s="35"/>
      <c r="KV38" s="35"/>
      <c r="KW38" s="35"/>
      <c r="KX38" s="35"/>
      <c r="KY38" s="35"/>
      <c r="KZ38" s="35"/>
      <c r="LA38" s="35"/>
      <c r="LB38" s="35"/>
      <c r="LC38" s="35"/>
      <c r="LD38" s="35"/>
      <c r="LE38" s="35"/>
      <c r="LF38" s="35"/>
      <c r="LG38" s="35"/>
      <c r="LH38" s="35"/>
      <c r="LI38" s="35"/>
      <c r="LJ38" s="35"/>
      <c r="LK38" s="35"/>
      <c r="LL38" s="35"/>
      <c r="LM38" s="35"/>
      <c r="LN38" s="35"/>
      <c r="LO38" s="35"/>
      <c r="LP38" s="35"/>
      <c r="LQ38" s="35"/>
      <c r="LR38" s="35"/>
      <c r="LS38" s="35"/>
      <c r="LT38" s="35"/>
      <c r="LU38" s="35"/>
      <c r="LV38" s="35"/>
      <c r="LW38" s="35"/>
      <c r="LX38" s="35"/>
      <c r="LY38" s="35"/>
      <c r="LZ38" s="35"/>
      <c r="MA38" s="35"/>
      <c r="MB38" s="35"/>
      <c r="MC38" s="35"/>
      <c r="MD38" s="35"/>
      <c r="ME38" s="35"/>
      <c r="MF38" s="35"/>
      <c r="MG38" s="35"/>
      <c r="MH38" s="35"/>
      <c r="MI38" s="35"/>
      <c r="MJ38" s="35"/>
      <c r="MK38" s="35"/>
      <c r="ML38" s="35"/>
    </row>
    <row r="39" spans="2:350" x14ac:dyDescent="0.4">
      <c r="B39" s="37" t="s">
        <v>53</v>
      </c>
      <c r="C39" s="37">
        <f t="shared" ref="C39:L39" si="66">SUM(C27:C38)</f>
        <v>2</v>
      </c>
      <c r="D39" s="37">
        <f t="shared" si="66"/>
        <v>1</v>
      </c>
      <c r="E39" s="37">
        <f t="shared" si="66"/>
        <v>0</v>
      </c>
      <c r="F39" s="37">
        <f t="shared" si="66"/>
        <v>0</v>
      </c>
      <c r="G39" s="37">
        <f t="shared" si="66"/>
        <v>0</v>
      </c>
      <c r="H39" s="37">
        <f t="shared" si="66"/>
        <v>0</v>
      </c>
      <c r="I39" s="37">
        <f t="shared" si="66"/>
        <v>1</v>
      </c>
      <c r="J39" s="37">
        <f t="shared" si="66"/>
        <v>0</v>
      </c>
      <c r="K39" s="37">
        <f t="shared" si="66"/>
        <v>2</v>
      </c>
      <c r="L39" s="37">
        <f t="shared" si="66"/>
        <v>1</v>
      </c>
      <c r="HE39" s="1"/>
      <c r="HF39" s="1"/>
      <c r="HL39" s="1"/>
      <c r="HM39" s="1"/>
      <c r="HS39" s="1"/>
      <c r="HT39" s="1"/>
    </row>
    <row r="42" spans="2:350" ht="45" x14ac:dyDescent="0.4">
      <c r="B42" s="38" t="s">
        <v>54</v>
      </c>
      <c r="C42" s="39" t="s">
        <v>55</v>
      </c>
      <c r="D42" s="40" t="s">
        <v>56</v>
      </c>
      <c r="E42" s="41" t="s">
        <v>57</v>
      </c>
      <c r="F42" s="42" t="s">
        <v>54</v>
      </c>
      <c r="G42" s="43" t="s">
        <v>58</v>
      </c>
    </row>
    <row r="43" spans="2:350" x14ac:dyDescent="0.4">
      <c r="B43" s="64">
        <v>45748</v>
      </c>
      <c r="C43" s="21"/>
      <c r="D43" s="21"/>
      <c r="E43" s="30"/>
      <c r="F43" s="44"/>
      <c r="G43" s="45"/>
    </row>
    <row r="44" spans="2:350" x14ac:dyDescent="0.4">
      <c r="B44" s="64">
        <v>46143</v>
      </c>
      <c r="C44" s="21"/>
      <c r="D44" s="21"/>
      <c r="E44" s="30"/>
      <c r="F44" s="44"/>
      <c r="G44" s="45"/>
    </row>
    <row r="45" spans="2:350" x14ac:dyDescent="0.4">
      <c r="B45" s="64">
        <v>46174</v>
      </c>
      <c r="C45" s="21"/>
      <c r="D45" s="21"/>
      <c r="E45" s="30"/>
      <c r="F45" s="44"/>
      <c r="G45" s="46"/>
    </row>
    <row r="46" spans="2:350" x14ac:dyDescent="0.4">
      <c r="B46" s="64">
        <v>46204</v>
      </c>
      <c r="C46" s="21"/>
      <c r="D46" s="21"/>
      <c r="E46" s="30"/>
      <c r="F46" s="44"/>
      <c r="G46" s="46"/>
    </row>
    <row r="47" spans="2:350" x14ac:dyDescent="0.4">
      <c r="B47" s="64">
        <v>46235</v>
      </c>
      <c r="C47" s="21"/>
      <c r="D47" s="21"/>
      <c r="E47" s="30"/>
      <c r="F47" s="44"/>
      <c r="G47" s="46"/>
    </row>
    <row r="48" spans="2:350" x14ac:dyDescent="0.4">
      <c r="B48" s="64">
        <v>46266</v>
      </c>
      <c r="C48" s="21"/>
      <c r="D48" s="21"/>
      <c r="E48" s="30"/>
      <c r="F48" s="44"/>
      <c r="G48" s="46"/>
    </row>
    <row r="49" spans="2:382" x14ac:dyDescent="0.4">
      <c r="B49" s="64">
        <v>46296</v>
      </c>
      <c r="C49" s="21"/>
      <c r="D49" s="21"/>
      <c r="E49" s="30"/>
      <c r="F49" s="44"/>
      <c r="G49" s="47"/>
    </row>
    <row r="50" spans="2:382" x14ac:dyDescent="0.4">
      <c r="B50" s="64">
        <v>45962</v>
      </c>
      <c r="C50" s="21"/>
      <c r="D50" s="21"/>
      <c r="E50" s="30"/>
      <c r="F50" s="44"/>
      <c r="G50" s="47"/>
    </row>
    <row r="51" spans="2:382" x14ac:dyDescent="0.4">
      <c r="B51" s="64">
        <v>45992</v>
      </c>
      <c r="C51" s="21"/>
      <c r="D51" s="21"/>
      <c r="E51" s="30"/>
      <c r="F51" s="44"/>
      <c r="G51" s="46"/>
    </row>
    <row r="52" spans="2:382" x14ac:dyDescent="0.4">
      <c r="B52" s="64">
        <v>46023</v>
      </c>
      <c r="C52" s="21"/>
      <c r="D52" s="21"/>
      <c r="E52" s="30"/>
      <c r="F52" s="44"/>
      <c r="G52" s="46"/>
    </row>
    <row r="53" spans="2:382" x14ac:dyDescent="0.4">
      <c r="B53" s="64">
        <v>46054</v>
      </c>
      <c r="C53" s="21"/>
      <c r="D53" s="21"/>
      <c r="E53" s="30"/>
      <c r="F53" s="44"/>
      <c r="G53" s="46"/>
    </row>
    <row r="54" spans="2:382" s="1" customFormat="1" x14ac:dyDescent="0.4">
      <c r="B54" s="64">
        <v>46082</v>
      </c>
      <c r="C54" s="21"/>
      <c r="D54" s="21"/>
      <c r="E54" s="30"/>
      <c r="F54" s="44"/>
      <c r="G54" s="46"/>
      <c r="HE54" s="13"/>
      <c r="HF54" s="13"/>
      <c r="HL54" s="13"/>
      <c r="HM54" s="13"/>
      <c r="HS54" s="13"/>
      <c r="HT54" s="13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</row>
    <row r="55" spans="2:382" s="1" customFormat="1" x14ac:dyDescent="0.4">
      <c r="E55" s="48" t="e">
        <f>AVERAGE(E43:E54)</f>
        <v>#DIV/0!</v>
      </c>
      <c r="F55" s="41" t="s">
        <v>59</v>
      </c>
      <c r="G55" s="48"/>
      <c r="HE55" s="13"/>
      <c r="HF55" s="13"/>
      <c r="HL55" s="13"/>
      <c r="HM55" s="13"/>
      <c r="HS55" s="13"/>
      <c r="HT55" s="13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</row>
  </sheetData>
  <autoFilter ref="B5:P18" xr:uid="{11EBCA63-28C3-4804-801E-1DFBBD5FB901}"/>
  <mergeCells count="12">
    <mergeCell ref="MN2:NR3"/>
    <mergeCell ref="Q1:AT3"/>
    <mergeCell ref="AU1:BY3"/>
    <mergeCell ref="BZ1:DC3"/>
    <mergeCell ref="DD1:EH3"/>
    <mergeCell ref="EI1:FM3"/>
    <mergeCell ref="FN1:GQ3"/>
    <mergeCell ref="GR1:HV3"/>
    <mergeCell ref="HW1:IZ3"/>
    <mergeCell ref="JA1:KE3"/>
    <mergeCell ref="KF1:LJ3"/>
    <mergeCell ref="LK1:MM3"/>
  </mergeCells>
  <phoneticPr fontId="3"/>
  <conditionalFormatting sqref="C1:C5 D42:D55">
    <cfRule type="cellIs" dxfId="3" priority="2" operator="equal">
      <formula>"VIP-U"</formula>
    </cfRule>
    <cfRule type="cellIs" dxfId="2" priority="3" operator="equal">
      <formula>"N-EMS"</formula>
    </cfRule>
    <cfRule type="cellIs" dxfId="1" priority="4" operator="equal">
      <formula>"A-EMS"</formula>
    </cfRule>
  </conditionalFormatting>
  <conditionalFormatting sqref="G43:G54">
    <cfRule type="cellIs" dxfId="0" priority="1" operator="greaterThan">
      <formula>4</formula>
    </cfRule>
  </conditionalFormatting>
  <pageMargins left="0.7" right="0.7" top="0.75" bottom="0.75" header="0.3" footer="0.3"/>
  <pageSetup scale="76" orientation="portrait" r:id="rId1"/>
  <rowBreaks count="1" manualBreakCount="1">
    <brk id="17" max="381" man="1"/>
  </rowBreaks>
  <colBreaks count="7" manualBreakCount="7">
    <brk id="1" min="1" max="47" man="1"/>
    <brk id="4" min="1" max="47" man="1"/>
    <brk id="9" min="1" max="47" man="1"/>
    <brk id="13" min="1" max="47" man="1"/>
    <brk id="46" min="1" max="47" man="1"/>
    <brk id="328" min="1" max="47" man="1"/>
    <brk id="357" min="1" max="47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C820-542B-4A89-AFA9-BC9FA82F9CC3}">
  <sheetPr codeName="Sheet2"/>
  <dimension ref="B2:H42"/>
  <sheetViews>
    <sheetView view="pageBreakPreview" topLeftCell="A32" zoomScale="60" zoomScaleNormal="100" workbookViewId="0">
      <selection activeCell="B19" sqref="B19"/>
    </sheetView>
  </sheetViews>
  <sheetFormatPr defaultRowHeight="18.75" x14ac:dyDescent="0.4"/>
  <cols>
    <col min="2" max="2" width="12" bestFit="1" customWidth="1"/>
    <col min="3" max="3" width="13.375" bestFit="1" customWidth="1"/>
    <col min="4" max="4" width="12.375" bestFit="1" customWidth="1"/>
    <col min="5" max="5" width="9" bestFit="1" customWidth="1"/>
    <col min="6" max="6" width="68" customWidth="1"/>
    <col min="7" max="7" width="11.5" bestFit="1" customWidth="1"/>
  </cols>
  <sheetData>
    <row r="2" spans="2:8" x14ac:dyDescent="0.4">
      <c r="B2" s="49">
        <v>45748</v>
      </c>
    </row>
    <row r="3" spans="2:8" ht="19.5" thickBot="1" x14ac:dyDescent="0.45"/>
    <row r="4" spans="2:8" ht="36" x14ac:dyDescent="0.4">
      <c r="B4" s="50" t="s">
        <v>60</v>
      </c>
      <c r="C4" s="51" t="s">
        <v>61</v>
      </c>
      <c r="D4" s="51" t="s">
        <v>62</v>
      </c>
      <c r="E4" s="52" t="s">
        <v>63</v>
      </c>
      <c r="F4" s="51" t="s">
        <v>15</v>
      </c>
      <c r="G4" s="51" t="s">
        <v>64</v>
      </c>
      <c r="H4" s="53" t="s">
        <v>65</v>
      </c>
    </row>
    <row r="5" spans="2:8" x14ac:dyDescent="0.4">
      <c r="B5" s="54">
        <v>1</v>
      </c>
      <c r="C5" s="55" t="s">
        <v>37</v>
      </c>
      <c r="D5" s="55" t="s">
        <v>35</v>
      </c>
      <c r="E5" s="55" t="s">
        <v>79</v>
      </c>
      <c r="F5" s="24" t="s">
        <v>38</v>
      </c>
      <c r="G5" s="57" t="s">
        <v>29</v>
      </c>
      <c r="H5" s="58">
        <v>459</v>
      </c>
    </row>
    <row r="6" spans="2:8" ht="19.5" thickBot="1" x14ac:dyDescent="0.45">
      <c r="B6" s="59"/>
      <c r="C6" s="60"/>
      <c r="D6" s="60"/>
      <c r="E6" s="60"/>
      <c r="F6" s="60"/>
      <c r="G6" s="61"/>
      <c r="H6" s="62"/>
    </row>
    <row r="7" spans="2:8" x14ac:dyDescent="0.4">
      <c r="G7" s="65"/>
      <c r="H7" s="65"/>
    </row>
    <row r="8" spans="2:8" ht="19.5" thickBot="1" x14ac:dyDescent="0.45">
      <c r="G8" s="65"/>
      <c r="H8" s="65"/>
    </row>
    <row r="9" spans="2:8" ht="36" x14ac:dyDescent="0.4">
      <c r="B9" s="50" t="s">
        <v>60</v>
      </c>
      <c r="C9" s="51" t="s">
        <v>61</v>
      </c>
      <c r="D9" s="51" t="s">
        <v>62</v>
      </c>
      <c r="E9" s="52" t="s">
        <v>63</v>
      </c>
      <c r="F9" s="51" t="s">
        <v>15</v>
      </c>
      <c r="G9" s="51" t="s">
        <v>64</v>
      </c>
      <c r="H9" s="53" t="s">
        <v>65</v>
      </c>
    </row>
    <row r="10" spans="2:8" x14ac:dyDescent="0.4">
      <c r="B10" s="54">
        <v>1</v>
      </c>
      <c r="C10" s="55" t="s">
        <v>41</v>
      </c>
      <c r="D10" s="55" t="s">
        <v>73</v>
      </c>
      <c r="E10" s="55" t="s">
        <v>32</v>
      </c>
      <c r="F10" s="56" t="s">
        <v>72</v>
      </c>
      <c r="G10" s="57" t="s">
        <v>68</v>
      </c>
      <c r="H10" s="58">
        <v>203.04</v>
      </c>
    </row>
    <row r="11" spans="2:8" ht="19.5" thickBot="1" x14ac:dyDescent="0.45">
      <c r="B11" s="59"/>
      <c r="C11" s="60"/>
      <c r="D11" s="60"/>
      <c r="E11" s="60"/>
      <c r="F11" s="60"/>
      <c r="G11" s="61"/>
      <c r="H11" s="62"/>
    </row>
    <row r="13" spans="2:8" x14ac:dyDescent="0.4">
      <c r="B13" s="49">
        <v>45778</v>
      </c>
    </row>
    <row r="14" spans="2:8" ht="19.5" thickBot="1" x14ac:dyDescent="0.45"/>
    <row r="15" spans="2:8" ht="36" x14ac:dyDescent="0.4">
      <c r="B15" s="50" t="s">
        <v>60</v>
      </c>
      <c r="C15" s="51" t="s">
        <v>61</v>
      </c>
      <c r="D15" s="51" t="s">
        <v>62</v>
      </c>
      <c r="E15" s="52" t="s">
        <v>63</v>
      </c>
      <c r="F15" s="51" t="s">
        <v>15</v>
      </c>
      <c r="G15" s="51" t="s">
        <v>64</v>
      </c>
      <c r="H15" s="53" t="s">
        <v>65</v>
      </c>
    </row>
    <row r="16" spans="2:8" x14ac:dyDescent="0.4">
      <c r="B16" s="54">
        <v>1</v>
      </c>
      <c r="C16" s="55" t="s">
        <v>69</v>
      </c>
      <c r="D16" s="55" t="s">
        <v>39</v>
      </c>
      <c r="E16" s="55" t="s">
        <v>79</v>
      </c>
      <c r="F16" s="56" t="s">
        <v>67</v>
      </c>
      <c r="G16" s="57" t="s">
        <v>40</v>
      </c>
      <c r="H16" s="58">
        <v>203.04</v>
      </c>
    </row>
    <row r="17" spans="2:8" ht="19.5" thickBot="1" x14ac:dyDescent="0.45">
      <c r="B17" s="59"/>
      <c r="C17" s="60"/>
      <c r="D17" s="60"/>
      <c r="E17" s="60"/>
      <c r="F17" s="60"/>
      <c r="G17" s="61"/>
      <c r="H17" s="62"/>
    </row>
    <row r="20" spans="2:8" x14ac:dyDescent="0.4">
      <c r="B20" s="49">
        <v>45778</v>
      </c>
    </row>
    <row r="21" spans="2:8" ht="19.5" thickBot="1" x14ac:dyDescent="0.45"/>
    <row r="22" spans="2:8" ht="36" x14ac:dyDescent="0.4">
      <c r="B22" s="50" t="s">
        <v>60</v>
      </c>
      <c r="C22" s="51" t="s">
        <v>61</v>
      </c>
      <c r="D22" s="51" t="s">
        <v>62</v>
      </c>
      <c r="E22" s="52" t="s">
        <v>63</v>
      </c>
      <c r="F22" s="51" t="s">
        <v>15</v>
      </c>
      <c r="G22" s="51" t="s">
        <v>64</v>
      </c>
      <c r="H22" s="53" t="s">
        <v>65</v>
      </c>
    </row>
    <row r="23" spans="2:8" x14ac:dyDescent="0.4">
      <c r="B23" s="54">
        <v>1</v>
      </c>
      <c r="C23" s="55" t="s">
        <v>70</v>
      </c>
      <c r="D23" s="55" t="s">
        <v>39</v>
      </c>
      <c r="E23" s="55" t="s">
        <v>79</v>
      </c>
      <c r="F23" s="56" t="s">
        <v>71</v>
      </c>
      <c r="G23" s="57" t="s">
        <v>68</v>
      </c>
      <c r="H23" s="58">
        <v>70</v>
      </c>
    </row>
    <row r="24" spans="2:8" ht="19.5" thickBot="1" x14ac:dyDescent="0.45">
      <c r="B24" s="59"/>
      <c r="C24" s="60"/>
      <c r="D24" s="60"/>
      <c r="E24" s="60"/>
      <c r="F24" s="60"/>
      <c r="G24" s="61"/>
      <c r="H24" s="62"/>
    </row>
    <row r="26" spans="2:8" x14ac:dyDescent="0.4">
      <c r="B26" s="49">
        <v>45809</v>
      </c>
    </row>
    <row r="27" spans="2:8" ht="19.5" thickBot="1" x14ac:dyDescent="0.45"/>
    <row r="28" spans="2:8" ht="36" x14ac:dyDescent="0.4">
      <c r="B28" s="50" t="s">
        <v>60</v>
      </c>
      <c r="C28" s="51" t="s">
        <v>61</v>
      </c>
      <c r="D28" s="51" t="s">
        <v>62</v>
      </c>
      <c r="E28" s="52" t="s">
        <v>63</v>
      </c>
      <c r="F28" s="51" t="s">
        <v>15</v>
      </c>
      <c r="G28" s="51" t="s">
        <v>64</v>
      </c>
      <c r="H28" s="53" t="s">
        <v>65</v>
      </c>
    </row>
    <row r="29" spans="2:8" x14ac:dyDescent="0.4">
      <c r="B29" s="54">
        <v>1</v>
      </c>
      <c r="C29" s="55" t="s">
        <v>80</v>
      </c>
      <c r="D29" s="55" t="s">
        <v>39</v>
      </c>
      <c r="E29" s="55" t="s">
        <v>79</v>
      </c>
      <c r="F29" s="56" t="s">
        <v>74</v>
      </c>
      <c r="G29" s="57" t="s">
        <v>68</v>
      </c>
      <c r="H29" s="58">
        <v>70</v>
      </c>
    </row>
    <row r="30" spans="2:8" ht="19.5" thickBot="1" x14ac:dyDescent="0.45">
      <c r="B30" s="59"/>
      <c r="C30" s="60"/>
      <c r="D30" s="60"/>
      <c r="E30" s="60"/>
      <c r="F30" s="60"/>
      <c r="G30" s="61"/>
      <c r="H30" s="62"/>
    </row>
    <row r="32" spans="2:8" x14ac:dyDescent="0.4">
      <c r="B32" s="49">
        <v>45809</v>
      </c>
    </row>
    <row r="33" spans="2:8" ht="19.5" thickBot="1" x14ac:dyDescent="0.45"/>
    <row r="34" spans="2:8" ht="36" x14ac:dyDescent="0.4">
      <c r="B34" s="50" t="s">
        <v>60</v>
      </c>
      <c r="C34" s="51" t="s">
        <v>61</v>
      </c>
      <c r="D34" s="51" t="s">
        <v>62</v>
      </c>
      <c r="E34" s="52" t="s">
        <v>63</v>
      </c>
      <c r="F34" s="51" t="s">
        <v>15</v>
      </c>
      <c r="G34" s="51" t="s">
        <v>64</v>
      </c>
      <c r="H34" s="53" t="s">
        <v>65</v>
      </c>
    </row>
    <row r="35" spans="2:8" x14ac:dyDescent="0.4">
      <c r="B35" s="54">
        <v>1</v>
      </c>
      <c r="C35" s="55" t="s">
        <v>76</v>
      </c>
      <c r="D35" s="55" t="s">
        <v>81</v>
      </c>
      <c r="E35" s="55" t="s">
        <v>79</v>
      </c>
      <c r="F35" s="56" t="s">
        <v>75</v>
      </c>
      <c r="G35" s="57" t="s">
        <v>68</v>
      </c>
      <c r="H35" s="58">
        <v>48</v>
      </c>
    </row>
    <row r="36" spans="2:8" ht="19.5" thickBot="1" x14ac:dyDescent="0.45">
      <c r="B36" s="59"/>
      <c r="C36" s="60"/>
      <c r="D36" s="60"/>
      <c r="E36" s="60"/>
      <c r="F36" s="60"/>
      <c r="G36" s="61"/>
      <c r="H36" s="62"/>
    </row>
    <row r="38" spans="2:8" x14ac:dyDescent="0.4">
      <c r="B38" s="49">
        <v>45809</v>
      </c>
    </row>
    <row r="39" spans="2:8" ht="19.5" thickBot="1" x14ac:dyDescent="0.45"/>
    <row r="40" spans="2:8" ht="36" x14ac:dyDescent="0.4">
      <c r="B40" s="50" t="s">
        <v>60</v>
      </c>
      <c r="C40" s="51" t="s">
        <v>61</v>
      </c>
      <c r="D40" s="51" t="s">
        <v>62</v>
      </c>
      <c r="E40" s="52" t="s">
        <v>63</v>
      </c>
      <c r="F40" s="51" t="s">
        <v>15</v>
      </c>
      <c r="G40" s="51" t="s">
        <v>64</v>
      </c>
      <c r="H40" s="53" t="s">
        <v>65</v>
      </c>
    </row>
    <row r="41" spans="2:8" x14ac:dyDescent="0.4">
      <c r="B41" s="54">
        <v>1</v>
      </c>
      <c r="C41" s="55" t="s">
        <v>78</v>
      </c>
      <c r="D41" s="55" t="s">
        <v>81</v>
      </c>
      <c r="E41" s="55" t="s">
        <v>79</v>
      </c>
      <c r="F41" s="26" t="s">
        <v>77</v>
      </c>
      <c r="G41" s="57" t="s">
        <v>68</v>
      </c>
      <c r="H41" s="58">
        <v>48</v>
      </c>
    </row>
    <row r="42" spans="2:8" ht="19.5" thickBot="1" x14ac:dyDescent="0.45">
      <c r="B42" s="59"/>
      <c r="C42" s="60"/>
      <c r="D42" s="60"/>
      <c r="E42" s="60"/>
      <c r="F42" s="60"/>
      <c r="G42" s="61"/>
      <c r="H42" s="62"/>
    </row>
  </sheetData>
  <phoneticPr fontId="3"/>
  <pageMargins left="0.7" right="0.7" top="0.75" bottom="0.75" header="0.3" footer="0.3"/>
  <pageSetup scale="5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Tools-Job Load(FY 2026-2027)</vt:lpstr>
      <vt:lpstr>Month_Wise_Effort</vt:lpstr>
      <vt:lpstr>'Tools-Job Load(FY 2026-2027)'!Print_Area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Yamini Sundarraj</dc:creator>
  <cp:lastModifiedBy>Yamini Sundarraj</cp:lastModifiedBy>
  <dcterms:created xsi:type="dcterms:W3CDTF">2025-04-01T11:16:45Z</dcterms:created>
  <dcterms:modified xsi:type="dcterms:W3CDTF">2026-05-21T14:22:44Z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9f0390-8cd2-4b67-82d6-256ea6522b99_Enabled">
    <vt:lpwstr>true</vt:lpwstr>
  </property>
  <property fmtid="{D5CDD505-2E9C-101B-9397-08002B2CF9AE}" pid="3" name="MSIP_Label_609f0390-8cd2-4b67-82d6-256ea6522b99_SetDate">
    <vt:lpwstr>2026-05-06T04:38:09Z</vt:lpwstr>
  </property>
  <property fmtid="{D5CDD505-2E9C-101B-9397-08002B2CF9AE}" pid="4" name="MSIP_Label_609f0390-8cd2-4b67-82d6-256ea6522b99_Method">
    <vt:lpwstr>Standard</vt:lpwstr>
  </property>
  <property fmtid="{D5CDD505-2E9C-101B-9397-08002B2CF9AE}" pid="5" name="MSIP_Label_609f0390-8cd2-4b67-82d6-256ea6522b99_Name">
    <vt:lpwstr>Internal</vt:lpwstr>
  </property>
  <property fmtid="{D5CDD505-2E9C-101B-9397-08002B2CF9AE}" pid="6" name="MSIP_Label_609f0390-8cd2-4b67-82d6-256ea6522b99_SiteId">
    <vt:lpwstr>97f7fcbd-e642-4be8-b84f-fc2cd7f8d6ff</vt:lpwstr>
  </property>
  <property fmtid="{D5CDD505-2E9C-101B-9397-08002B2CF9AE}" pid="7" name="MSIP_Label_609f0390-8cd2-4b67-82d6-256ea6522b99_ActionId">
    <vt:lpwstr>30c13f01-c5e2-44bd-be8e-0f08c5b70e81</vt:lpwstr>
  </property>
  <property fmtid="{D5CDD505-2E9C-101B-9397-08002B2CF9AE}" pid="8" name="MSIP_Label_609f0390-8cd2-4b67-82d6-256ea6522b99_ContentBits">
    <vt:lpwstr>0</vt:lpwstr>
  </property>
  <property fmtid="{D5CDD505-2E9C-101B-9397-08002B2CF9AE}" pid="9" name="MSIP_Label_609f0390-8cd2-4b67-82d6-256ea6522b99_Tag">
    <vt:lpwstr>10, 3, 0, 1</vt:lpwstr>
  </property>
</Properties>
</file>